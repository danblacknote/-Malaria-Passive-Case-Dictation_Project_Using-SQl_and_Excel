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ack Note\Downloads\"/>
    </mc:Choice>
  </mc:AlternateContent>
  <bookViews>
    <workbookView xWindow="0" yWindow="0" windowWidth="23040" windowHeight="949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2" i="3" l="1"/>
  <c r="O43" i="3"/>
  <c r="O44" i="3"/>
  <c r="O41" i="3"/>
  <c r="N47" i="3" s="1"/>
  <c r="N49" i="3" s="1"/>
  <c r="N48" i="3"/>
  <c r="N42" i="3"/>
  <c r="N43" i="3"/>
  <c r="N44" i="3"/>
  <c r="N41" i="3"/>
  <c r="J44" i="3"/>
  <c r="J43" i="3"/>
  <c r="J42" i="3"/>
  <c r="J41" i="3"/>
  <c r="I44" i="3"/>
  <c r="I43" i="3"/>
  <c r="I42" i="3"/>
  <c r="I41" i="3"/>
  <c r="D45" i="3"/>
  <c r="C45" i="3"/>
  <c r="B45" i="3"/>
  <c r="B8" i="3"/>
  <c r="D2" i="3"/>
  <c r="C4" i="3"/>
  <c r="D3" i="3" s="1"/>
  <c r="B4" i="3"/>
  <c r="D27" i="3"/>
  <c r="D32" i="3"/>
  <c r="D31" i="3"/>
  <c r="D30" i="3"/>
  <c r="D29" i="3"/>
  <c r="D28" i="3"/>
  <c r="E28" i="3"/>
  <c r="E29" i="3"/>
  <c r="E30" i="3"/>
  <c r="E31" i="3"/>
  <c r="E32" i="3"/>
  <c r="E27" i="3"/>
  <c r="L25" i="3"/>
  <c r="D22" i="3"/>
  <c r="C22" i="3"/>
  <c r="E17" i="3"/>
  <c r="E18" i="3"/>
  <c r="E19" i="3"/>
  <c r="E20" i="3"/>
  <c r="E21" i="3"/>
  <c r="E16" i="3"/>
  <c r="E15" i="3"/>
  <c r="E22" i="3" l="1"/>
  <c r="I21" i="3" s="1"/>
  <c r="M21" i="3" s="1"/>
  <c r="D4" i="3"/>
  <c r="J3" i="3"/>
  <c r="N3" i="3" s="1"/>
  <c r="I15" i="3"/>
  <c r="M15" i="3" s="1"/>
  <c r="J18" i="3"/>
  <c r="N18" i="3" s="1"/>
  <c r="J19" i="3"/>
  <c r="N19" i="3" s="1"/>
  <c r="J20" i="3"/>
  <c r="N20" i="3" s="1"/>
  <c r="J17" i="3" l="1"/>
  <c r="N17" i="3" s="1"/>
  <c r="I16" i="3"/>
  <c r="M16" i="3" s="1"/>
  <c r="J16" i="3"/>
  <c r="N16" i="3" s="1"/>
  <c r="I19" i="3"/>
  <c r="M19" i="3" s="1"/>
  <c r="I18" i="3"/>
  <c r="M18" i="3" s="1"/>
  <c r="I20" i="3"/>
  <c r="M20" i="3" s="1"/>
  <c r="J15" i="3"/>
  <c r="N15" i="3" s="1"/>
  <c r="L24" i="3" s="1"/>
  <c r="L26" i="3" s="1"/>
  <c r="J21" i="3"/>
  <c r="N21" i="3" s="1"/>
  <c r="I17" i="3"/>
  <c r="M17" i="3" s="1"/>
  <c r="J2" i="3"/>
  <c r="N2" i="3" s="1"/>
  <c r="I2" i="3"/>
  <c r="M2" i="3" s="1"/>
  <c r="I3" i="3"/>
  <c r="M3" i="3" s="1"/>
  <c r="B7" i="3" l="1"/>
  <c r="B9" i="3" s="1"/>
</calcChain>
</file>

<file path=xl/sharedStrings.xml><?xml version="1.0" encoding="utf-8"?>
<sst xmlns="http://schemas.openxmlformats.org/spreadsheetml/2006/main" count="358" uniqueCount="175">
  <si>
    <t>Mar</t>
  </si>
  <si>
    <t>Apr</t>
  </si>
  <si>
    <t>May</t>
  </si>
  <si>
    <t>Jun</t>
  </si>
  <si>
    <t>P</t>
  </si>
  <si>
    <t>N</t>
  </si>
  <si>
    <t>Jul</t>
  </si>
  <si>
    <t>Aug</t>
  </si>
  <si>
    <t>Sep</t>
  </si>
  <si>
    <t>Oct</t>
  </si>
  <si>
    <t>Nov</t>
  </si>
  <si>
    <t>Dec</t>
  </si>
  <si>
    <t>Jan</t>
  </si>
  <si>
    <t>Feb</t>
  </si>
  <si>
    <t>Family_Travel_History</t>
  </si>
  <si>
    <t>Family_Diagnostic_History</t>
  </si>
  <si>
    <t>Malaria_Positive_History</t>
  </si>
  <si>
    <t>Badnet_Hole</t>
  </si>
  <si>
    <t>Sleap_Under_BadNet</t>
  </si>
  <si>
    <t>IRS_Spray_History</t>
  </si>
  <si>
    <t>Kitchen_Garden_Avalibility</t>
  </si>
  <si>
    <t>Yes (n)</t>
  </si>
  <si>
    <t>No (n)</t>
  </si>
  <si>
    <t>Education</t>
  </si>
  <si>
    <t>F</t>
  </si>
  <si>
    <t>D</t>
  </si>
  <si>
    <t>B</t>
  </si>
  <si>
    <t>C</t>
  </si>
  <si>
    <t>A</t>
  </si>
  <si>
    <t>X</t>
  </si>
  <si>
    <t>E</t>
  </si>
  <si>
    <t>G</t>
  </si>
  <si>
    <t>Z</t>
  </si>
  <si>
    <t>Microscopy Result</t>
  </si>
  <si>
    <t>RDT Result</t>
  </si>
  <si>
    <t>Not Done</t>
  </si>
  <si>
    <t>NerBy_Mosquito_Habitate</t>
  </si>
  <si>
    <t>Y</t>
  </si>
  <si>
    <t>RDT_Result</t>
  </si>
  <si>
    <t>Specec_by_Microscopy</t>
  </si>
  <si>
    <t>Pf</t>
  </si>
  <si>
    <t>Pv</t>
  </si>
  <si>
    <t>Pm</t>
  </si>
  <si>
    <t>Mix</t>
  </si>
  <si>
    <t>Specec_by_RDT</t>
  </si>
  <si>
    <t>Village</t>
  </si>
  <si>
    <t>Vg 8</t>
  </si>
  <si>
    <t>Vg 7</t>
  </si>
  <si>
    <t>Vg 12</t>
  </si>
  <si>
    <t>Vg 9</t>
  </si>
  <si>
    <t>Vg 11</t>
  </si>
  <si>
    <t>Abobo</t>
  </si>
  <si>
    <t>Vg 13</t>
  </si>
  <si>
    <t>1. &lt; 5 years</t>
  </si>
  <si>
    <t>2. 5-14 years</t>
  </si>
  <si>
    <t>3. 15-24 years</t>
  </si>
  <si>
    <t>4. 25-44 years</t>
  </si>
  <si>
    <t>5. 45-59 years</t>
  </si>
  <si>
    <t>6. &gt;= 60 years</t>
  </si>
  <si>
    <t>7. Unknown</t>
  </si>
  <si>
    <t>&lt; 5 years</t>
  </si>
  <si>
    <t>5-14 years</t>
  </si>
  <si>
    <t>15-24 years</t>
  </si>
  <si>
    <t>25-44 years</t>
  </si>
  <si>
    <t>45-59 years</t>
  </si>
  <si>
    <t>&gt;= 60 years</t>
  </si>
  <si>
    <t>Unknown</t>
  </si>
  <si>
    <t>Fever</t>
  </si>
  <si>
    <t>Headache</t>
  </si>
  <si>
    <t>Vomiting</t>
  </si>
  <si>
    <t>Chills/Shivering</t>
  </si>
  <si>
    <t>Sweating</t>
  </si>
  <si>
    <t>Diarrhea</t>
  </si>
  <si>
    <t>Dizziness</t>
  </si>
  <si>
    <t>Joint pain</t>
  </si>
  <si>
    <t>Loss of appetite</t>
  </si>
  <si>
    <t>Abdomen pains</t>
  </si>
  <si>
    <t>Muscle pain</t>
  </si>
  <si>
    <t>Clean up house environment</t>
  </si>
  <si>
    <t>Fan</t>
  </si>
  <si>
    <t>Draining stagnant water</t>
  </si>
  <si>
    <t>Smoking</t>
  </si>
  <si>
    <t>Government IRS (Indoor Residual Spraying)</t>
  </si>
  <si>
    <t>Burn herbs/cow dung</t>
  </si>
  <si>
    <t>Use other commercial repellents</t>
  </si>
  <si>
    <t>Regular use of commercial sprays</t>
  </si>
  <si>
    <t>Regular use of coils</t>
  </si>
  <si>
    <t>Do Nothing</t>
  </si>
  <si>
    <t>Use bednet</t>
  </si>
  <si>
    <t>Use screened windows/doors</t>
  </si>
  <si>
    <t>%</t>
  </si>
  <si>
    <t>Sympt</t>
  </si>
  <si>
    <t>Student</t>
  </si>
  <si>
    <t>Non-school Child (Age &lt; 15)</t>
  </si>
  <si>
    <t>Housewife/House Keeping</t>
  </si>
  <si>
    <t>Government employer</t>
  </si>
  <si>
    <t>Farmer/Agricultural worker</t>
  </si>
  <si>
    <t>Daily worker</t>
  </si>
  <si>
    <t>Merchant</t>
  </si>
  <si>
    <t>Retired</t>
  </si>
  <si>
    <t>Others</t>
  </si>
  <si>
    <t xml:space="preserve"> Species</t>
  </si>
  <si>
    <t xml:space="preserve"> Mean Asexual</t>
  </si>
  <si>
    <t xml:space="preserve"> Mean _Gametocyte</t>
  </si>
  <si>
    <t xml:space="preserve"> Gametocyte:Asexual Ratio</t>
  </si>
  <si>
    <t>P.f</t>
  </si>
  <si>
    <t>P.v</t>
  </si>
  <si>
    <t>NA</t>
  </si>
  <si>
    <t>Speices</t>
  </si>
  <si>
    <t>Mean Asexual</t>
  </si>
  <si>
    <t>Mean Gametocyte</t>
  </si>
  <si>
    <t>Gametocyte:Asexual Ratio</t>
  </si>
  <si>
    <t>Study Year</t>
  </si>
  <si>
    <t>Grand Total</t>
  </si>
  <si>
    <t>Total Case Per Year</t>
  </si>
  <si>
    <t>M</t>
  </si>
  <si>
    <t>Age</t>
  </si>
  <si>
    <t>Age Group</t>
  </si>
  <si>
    <t>P (n)</t>
  </si>
  <si>
    <t>N(n)</t>
  </si>
  <si>
    <t>Obs</t>
  </si>
  <si>
    <t>Exp</t>
  </si>
  <si>
    <t>P(n)</t>
  </si>
  <si>
    <t>Toatl</t>
  </si>
  <si>
    <t>(O-E)^2/E</t>
  </si>
  <si>
    <r>
      <t>X</t>
    </r>
    <r>
      <rPr>
        <sz val="11"/>
        <color theme="1"/>
        <rFont val="Calibri"/>
        <family val="2"/>
      </rPr>
      <t>²</t>
    </r>
  </si>
  <si>
    <t>df</t>
  </si>
  <si>
    <t>p</t>
  </si>
  <si>
    <r>
      <t>X</t>
    </r>
    <r>
      <rPr>
        <b/>
        <sz val="11"/>
        <color theme="1"/>
        <rFont val="Calibri"/>
        <family val="2"/>
      </rPr>
      <t>²</t>
    </r>
  </si>
  <si>
    <t>Col Total</t>
  </si>
  <si>
    <t>Row Total</t>
  </si>
  <si>
    <t>OR</t>
  </si>
  <si>
    <t>ref</t>
  </si>
  <si>
    <t>95 % L_CI</t>
  </si>
  <si>
    <t>95 % U_CI</t>
  </si>
  <si>
    <t>—</t>
  </si>
  <si>
    <t>&lt;0.0001</t>
  </si>
  <si>
    <t>N (n)</t>
  </si>
  <si>
    <t>Row total</t>
  </si>
  <si>
    <t>Pos</t>
  </si>
  <si>
    <t>Neg</t>
  </si>
  <si>
    <t>Df</t>
  </si>
  <si>
    <t>95% L-CI</t>
  </si>
  <si>
    <t>95% U-CI</t>
  </si>
  <si>
    <t>Physical</t>
  </si>
  <si>
    <t>Chemical</t>
  </si>
  <si>
    <t>Traditional</t>
  </si>
  <si>
    <t>Environmental</t>
  </si>
  <si>
    <t>Prevantion Method</t>
  </si>
  <si>
    <t>Ro w Total</t>
  </si>
  <si>
    <t>95% CI</t>
  </si>
  <si>
    <t>1.00 (ref)</t>
  </si>
  <si>
    <t>(1.324, 1.713)</t>
  </si>
  <si>
    <t>(1.346, 1.698)</t>
  </si>
  <si>
    <t>(0.778, 0.922)</t>
  </si>
  <si>
    <t>Non-cases = N − P</t>
  </si>
  <si>
    <t>OR = [P₁/(N₁−P₁)] ÷ [P_ref/(N_ref−P_ref)]</t>
  </si>
  <si>
    <t>Woolf's 95% CI</t>
  </si>
  <si>
    <t>Formula For OR and CI</t>
  </si>
  <si>
    <r>
      <t xml:space="preserve">Reference: </t>
    </r>
    <r>
      <rPr>
        <b/>
        <sz val="11"/>
        <color theme="1"/>
        <rFont val="Segoe UI"/>
        <family val="2"/>
      </rPr>
      <t>Physical</t>
    </r>
    <r>
      <rPr>
        <sz val="11"/>
        <color theme="1"/>
        <rFont val="Calibri"/>
        <family val="2"/>
        <scheme val="minor"/>
      </rPr>
      <t xml:space="preserve"> (P = 3081, N = 8636)</t>
    </r>
  </si>
  <si>
    <t>P-value</t>
  </si>
  <si>
    <t>(0.385, 0.531)</t>
  </si>
  <si>
    <t>(0.268, 0.377)</t>
  </si>
  <si>
    <t>(0.421, 0.617)</t>
  </si>
  <si>
    <t>(0.332, 0.560)</t>
  </si>
  <si>
    <t>(0.228, 0.447)</t>
  </si>
  <si>
    <t>Pos (n)</t>
  </si>
  <si>
    <t>Neg (n)</t>
  </si>
  <si>
    <t>Cramér's V</t>
  </si>
  <si>
    <t>Previous Malaria</t>
  </si>
  <si>
    <t>No (ref)</t>
  </si>
  <si>
    <t>Yes</t>
  </si>
  <si>
    <t>(5.528, 7.958)</t>
  </si>
  <si>
    <t>1. No (no previous malaria)</t>
  </si>
  <si>
    <t>2. Yes (previous malaria)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</si>
</sst>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Malaria Test Results</a:t>
            </a:r>
            <a:r>
              <a:rPr lang="en-DE"/>
              <a:t> </a:t>
            </a:r>
            <a:r>
              <a:rPr lang="en-US"/>
              <a:t> (2025)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70317778841681"/>
          <c:y val="0.19336188436830834"/>
          <c:w val="0.84273580453154873"/>
          <c:h val="0.54909569654970858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4152652005174665E-2"/>
                  <c:y val="2.5008851944898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3.5532557136696855E-2"/>
                  <c:y val="-4.07209136331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8F5-46C0-823D-F640320E67AF}"/>
                </c:ext>
              </c:extLst>
            </c:dLbl>
            <c:dLbl>
              <c:idx val="8"/>
              <c:layout>
                <c:manualLayout>
                  <c:x val="-3.5532557136696931E-2"/>
                  <c:y val="-3.00142755174875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8F5-46C0-823D-F640320E67AF}"/>
                </c:ext>
              </c:extLst>
            </c:dLbl>
            <c:dLbl>
              <c:idx val="11"/>
              <c:layout>
                <c:manualLayout>
                  <c:x val="-5.5670547649849231E-2"/>
                  <c:y val="9.243397573162026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8F5-46C0-823D-F640320E67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Sheet1!$C$3:$N$3</c:f>
              <c:numCache>
                <c:formatCode>General</c:formatCode>
                <c:ptCount val="12"/>
                <c:pt idx="2">
                  <c:v>162</c:v>
                </c:pt>
                <c:pt idx="3">
                  <c:v>257</c:v>
                </c:pt>
                <c:pt idx="4">
                  <c:v>235</c:v>
                </c:pt>
                <c:pt idx="5">
                  <c:v>207</c:v>
                </c:pt>
                <c:pt idx="6">
                  <c:v>113</c:v>
                </c:pt>
                <c:pt idx="7">
                  <c:v>138</c:v>
                </c:pt>
                <c:pt idx="8">
                  <c:v>212</c:v>
                </c:pt>
                <c:pt idx="9">
                  <c:v>77</c:v>
                </c:pt>
                <c:pt idx="10">
                  <c:v>88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5-46C0-823D-F640320E67AF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4.2000862440707241E-2"/>
                  <c:y val="-5.1427551748750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8F5-46C0-823D-F640320E67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Sheet1!$C$4:$N$4</c:f>
              <c:numCache>
                <c:formatCode>General</c:formatCode>
                <c:ptCount val="12"/>
                <c:pt idx="2">
                  <c:v>227</c:v>
                </c:pt>
                <c:pt idx="3">
                  <c:v>390</c:v>
                </c:pt>
                <c:pt idx="4">
                  <c:v>586</c:v>
                </c:pt>
                <c:pt idx="5">
                  <c:v>452</c:v>
                </c:pt>
                <c:pt idx="6">
                  <c:v>288</c:v>
                </c:pt>
                <c:pt idx="7">
                  <c:v>408</c:v>
                </c:pt>
                <c:pt idx="8">
                  <c:v>103</c:v>
                </c:pt>
                <c:pt idx="9">
                  <c:v>258</c:v>
                </c:pt>
                <c:pt idx="10">
                  <c:v>299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5-46C0-823D-F640320E67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0168768"/>
        <c:axId val="1870172512"/>
      </c:lineChart>
      <c:catAx>
        <c:axId val="187016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Months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62640698373252"/>
              <c:y val="0.82881827940672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172512"/>
        <c:crosses val="autoZero"/>
        <c:auto val="1"/>
        <c:lblAlgn val="ctr"/>
        <c:lblOffset val="100"/>
        <c:noMultiLvlLbl val="0"/>
      </c:catAx>
      <c:valAx>
        <c:axId val="18701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r>
                  <a:rPr lang="en-DE"/>
                  <a:t>umber of- individual tested</a:t>
                </a:r>
                <a:endParaRPr lang="en-US"/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1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Monthly Malaria Test Results</a:t>
            </a:r>
            <a:r>
              <a:rPr lang="en-DE" sz="1400" b="0" i="0" baseline="0">
                <a:effectLst/>
              </a:rPr>
              <a:t> </a:t>
            </a:r>
            <a:r>
              <a:rPr lang="en-US" sz="1400" b="0" i="0" baseline="0">
                <a:effectLst/>
              </a:rPr>
              <a:t> (2026</a:t>
            </a:r>
            <a:r>
              <a:rPr lang="en-US" sz="1800" b="0" i="0" baseline="0">
                <a:effectLst/>
              </a:rPr>
              <a:t>)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Sheet1!$C$5:$K$5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Sheet1!$C$6:$K$6</c:f>
              <c:numCache>
                <c:formatCode>General</c:formatCode>
                <c:ptCount val="9"/>
                <c:pt idx="0">
                  <c:v>17</c:v>
                </c:pt>
                <c:pt idx="1">
                  <c:v>17</c:v>
                </c:pt>
                <c:pt idx="2">
                  <c:v>29</c:v>
                </c:pt>
                <c:pt idx="3">
                  <c:v>7</c:v>
                </c:pt>
                <c:pt idx="4">
                  <c:v>28</c:v>
                </c:pt>
                <c:pt idx="5">
                  <c:v>145</c:v>
                </c:pt>
                <c:pt idx="6">
                  <c:v>107</c:v>
                </c:pt>
                <c:pt idx="7">
                  <c:v>194</c:v>
                </c:pt>
                <c:pt idx="8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8-433C-83A0-B61474ADCB90}"/>
            </c:ext>
          </c:extLst>
        </c:ser>
        <c:ser>
          <c:idx val="1"/>
          <c:order val="1"/>
          <c:tx>
            <c:strRef>
              <c:f>Sheet1!$B$7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Sheet1!$C$5:$K$5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Sheet1!$C$7:$K$7</c:f>
              <c:numCache>
                <c:formatCode>General</c:formatCode>
                <c:ptCount val="9"/>
                <c:pt idx="0">
                  <c:v>25</c:v>
                </c:pt>
                <c:pt idx="1">
                  <c:v>167</c:v>
                </c:pt>
                <c:pt idx="2">
                  <c:v>199</c:v>
                </c:pt>
                <c:pt idx="3">
                  <c:v>127</c:v>
                </c:pt>
                <c:pt idx="4">
                  <c:v>140</c:v>
                </c:pt>
                <c:pt idx="5">
                  <c:v>314</c:v>
                </c:pt>
                <c:pt idx="6">
                  <c:v>294</c:v>
                </c:pt>
                <c:pt idx="7">
                  <c:v>449</c:v>
                </c:pt>
                <c:pt idx="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8-433C-83A0-B61474ADCB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8944064"/>
        <c:axId val="1228113088"/>
      </c:lineChart>
      <c:catAx>
        <c:axId val="123894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13088"/>
        <c:crosses val="autoZero"/>
        <c:auto val="1"/>
        <c:lblAlgn val="ctr"/>
        <c:lblOffset val="100"/>
        <c:noMultiLvlLbl val="0"/>
      </c:catAx>
      <c:valAx>
        <c:axId val="12281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N</a:t>
                </a:r>
                <a:r>
                  <a:rPr lang="en-DE" sz="1200" b="0" i="0" baseline="0">
                    <a:effectLst/>
                  </a:rPr>
                  <a:t>umber of- individual tested</a:t>
                </a:r>
                <a:endParaRPr lang="en-US" sz="7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94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Monthly Malaria Positive Case Comparison for Year 2025 and 2026 </a:t>
            </a:r>
            <a:endParaRPr lang="en-US" sz="11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Sheet1!$A$29:$B$29</c:f>
              <c:strCache>
                <c:ptCount val="2"/>
                <c:pt idx="0">
                  <c:v>2025</c:v>
                </c:pt>
                <c:pt idx="1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2.8217237308146473E-2"/>
                  <c:y val="6.2534631087780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504-4FF5-B815-5F408A1D38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Sheet1!$C$28:$N$28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Sheet1!$C$29:$N$29</c:f>
              <c:numCache>
                <c:formatCode>General</c:formatCode>
                <c:ptCount val="12"/>
                <c:pt idx="2">
                  <c:v>162</c:v>
                </c:pt>
                <c:pt idx="3">
                  <c:v>257</c:v>
                </c:pt>
                <c:pt idx="4">
                  <c:v>235</c:v>
                </c:pt>
                <c:pt idx="5">
                  <c:v>207</c:v>
                </c:pt>
                <c:pt idx="6">
                  <c:v>113</c:v>
                </c:pt>
                <c:pt idx="7">
                  <c:v>138</c:v>
                </c:pt>
                <c:pt idx="8">
                  <c:v>212</c:v>
                </c:pt>
                <c:pt idx="9">
                  <c:v>77</c:v>
                </c:pt>
                <c:pt idx="10">
                  <c:v>88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4-4FF5-B815-5F408A1D38B9}"/>
            </c:ext>
          </c:extLst>
        </c:ser>
        <c:ser>
          <c:idx val="1"/>
          <c:order val="1"/>
          <c:tx>
            <c:strRef>
              <c:f>Sheet1!$A$30:$B$30</c:f>
              <c:strCache>
                <c:ptCount val="2"/>
                <c:pt idx="0">
                  <c:v>2026</c:v>
                </c:pt>
                <c:pt idx="1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4.6954977735221115E-2"/>
                  <c:y val="-3.5717410323709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3504-4FF5-B815-5F408A1D38B9}"/>
                </c:ext>
              </c:extLst>
            </c:dLbl>
            <c:dLbl>
              <c:idx val="6"/>
              <c:layout>
                <c:manualLayout>
                  <c:x val="-3.0184966548602914E-2"/>
                  <c:y val="4.864574219889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504-4FF5-B815-5F408A1D38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Sheet1!$C$28:$N$28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Sheet1!$C$30:$N$30</c:f>
              <c:numCache>
                <c:formatCode>General</c:formatCode>
                <c:ptCount val="12"/>
                <c:pt idx="0">
                  <c:v>17</c:v>
                </c:pt>
                <c:pt idx="1">
                  <c:v>17</c:v>
                </c:pt>
                <c:pt idx="2">
                  <c:v>29</c:v>
                </c:pt>
                <c:pt idx="3">
                  <c:v>7</c:v>
                </c:pt>
                <c:pt idx="4">
                  <c:v>28</c:v>
                </c:pt>
                <c:pt idx="5">
                  <c:v>145</c:v>
                </c:pt>
                <c:pt idx="6">
                  <c:v>107</c:v>
                </c:pt>
                <c:pt idx="7">
                  <c:v>194</c:v>
                </c:pt>
                <c:pt idx="8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4-4FF5-B815-5F408A1D38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0168352"/>
        <c:axId val="1870169600"/>
      </c:lineChart>
      <c:catAx>
        <c:axId val="187016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169600"/>
        <c:crosses val="autoZero"/>
        <c:auto val="1"/>
        <c:lblAlgn val="ctr"/>
        <c:lblOffset val="100"/>
        <c:noMultiLvlLbl val="0"/>
      </c:catAx>
      <c:valAx>
        <c:axId val="18701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N</a:t>
                </a:r>
                <a:r>
                  <a:rPr lang="en-DE" sz="1400" b="0" i="0" baseline="0">
                    <a:effectLst/>
                  </a:rPr>
                  <a:t>umber of- individual tested</a:t>
                </a:r>
                <a:endParaRPr lang="en-US" sz="8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1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Result by Microscopy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DD-4573-AEE0-21DC469108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BDD-4573-AEE0-21DC469108C0}"/>
              </c:ext>
            </c:extLst>
          </c:dPt>
          <c:dLbls>
            <c:dLbl>
              <c:idx val="0"/>
              <c:layout>
                <c:manualLayout>
                  <c:x val="-0.15325918635170604"/>
                  <c:y val="-0.1753951589384660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BDD-4573-AEE0-21DC469108C0}"/>
                </c:ext>
              </c:extLst>
            </c:dLbl>
            <c:dLbl>
              <c:idx val="2"/>
              <c:layout>
                <c:manualLayout>
                  <c:x val="4.9349300087489063E-2"/>
                  <c:y val="8.61078302712161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BDD-4573-AEE0-21DC469108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Sheet2!$K$10:$K$12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Not Done</c:v>
                </c:pt>
              </c:strCache>
            </c:strRef>
          </c:cat>
          <c:val>
            <c:numRef>
              <c:f>Sheet2!$L$10:$L$12</c:f>
              <c:numCache>
                <c:formatCode>General</c:formatCode>
                <c:ptCount val="3"/>
                <c:pt idx="0">
                  <c:v>5264</c:v>
                </c:pt>
                <c:pt idx="1">
                  <c:v>2039</c:v>
                </c:pt>
                <c:pt idx="2">
                  <c:v>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D-4573-AEE0-21DC469108C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Sheet2!$K$10:$K$12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Not Done</c:v>
                </c:pt>
              </c:strCache>
            </c:strRef>
          </c:cat>
          <c:val>
            <c:numRef>
              <c:f>Sheet2!$M$10:$M$12</c:f>
              <c:numCache>
                <c:formatCode>General</c:formatCode>
                <c:ptCount val="3"/>
                <c:pt idx="0">
                  <c:v>67.08</c:v>
                </c:pt>
                <c:pt idx="1">
                  <c:v>25.98</c:v>
                </c:pt>
                <c:pt idx="2">
                  <c:v>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D-4573-AEE0-21DC469108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Result By RDT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E63-498D-8680-F5FB83AB01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63-498D-8680-F5FB83AB01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E63-498D-8680-F5FB83AB01F5}"/>
              </c:ext>
            </c:extLst>
          </c:dPt>
          <c:dLbls>
            <c:dLbl>
              <c:idx val="0"/>
              <c:layout>
                <c:manualLayout>
                  <c:x val="-4.7046697287839022E-2"/>
                  <c:y val="-0.3159244677748614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E63-498D-8680-F5FB83AB01F5}"/>
                </c:ext>
              </c:extLst>
            </c:dLbl>
            <c:dLbl>
              <c:idx val="1"/>
              <c:layout>
                <c:manualLayout>
                  <c:x val="2.9093722659667542E-2"/>
                  <c:y val="7.532079323417905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E63-498D-8680-F5FB83AB01F5}"/>
                </c:ext>
              </c:extLst>
            </c:dLbl>
            <c:dLbl>
              <c:idx val="2"/>
              <c:layout>
                <c:manualLayout>
                  <c:x val="3.6610345581802227E-2"/>
                  <c:y val="1.694736074657334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E63-498D-8680-F5FB83AB01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Sheet2!$K$13:$K$15</c:f>
              <c:strCache>
                <c:ptCount val="3"/>
                <c:pt idx="0">
                  <c:v>Not Done</c:v>
                </c:pt>
                <c:pt idx="1">
                  <c:v>N</c:v>
                </c:pt>
                <c:pt idx="2">
                  <c:v>P</c:v>
                </c:pt>
              </c:strCache>
            </c:strRef>
          </c:cat>
          <c:val>
            <c:numRef>
              <c:f>Sheet2!$L$13:$L$15</c:f>
              <c:numCache>
                <c:formatCode>General</c:formatCode>
                <c:ptCount val="3"/>
                <c:pt idx="0">
                  <c:v>7157</c:v>
                </c:pt>
                <c:pt idx="1">
                  <c:v>347</c:v>
                </c:pt>
                <c:pt idx="2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3-498D-8680-F5FB83AB01F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Sheet2!$K$13:$K$15</c:f>
              <c:strCache>
                <c:ptCount val="3"/>
                <c:pt idx="0">
                  <c:v>Not Done</c:v>
                </c:pt>
                <c:pt idx="1">
                  <c:v>N</c:v>
                </c:pt>
                <c:pt idx="2">
                  <c:v>P</c:v>
                </c:pt>
              </c:strCache>
            </c:strRef>
          </c:cat>
          <c:val>
            <c:numRef>
              <c:f>Sheet2!$M$13:$M$15</c:f>
              <c:numCache>
                <c:formatCode>General</c:formatCode>
                <c:ptCount val="3"/>
                <c:pt idx="0">
                  <c:v>91.21</c:v>
                </c:pt>
                <c:pt idx="1">
                  <c:v>4.42</c:v>
                </c:pt>
                <c:pt idx="2">
                  <c:v>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3-498D-8680-F5FB83AB01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Species</a:t>
            </a:r>
            <a:r>
              <a:rPr lang="en-US" baseline="0"/>
              <a:t> by Microscopy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2F-4F14-AC47-F3F5469D80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02F-4F14-AC47-F3F5469D80CC}"/>
              </c:ext>
            </c:extLst>
          </c:dPt>
          <c:dLbls>
            <c:dLbl>
              <c:idx val="1"/>
              <c:layout>
                <c:manualLayout>
                  <c:x val="-1.1127515310586228E-2"/>
                  <c:y val="1.27147127442403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02F-4F14-AC47-F3F5469D80CC}"/>
                </c:ext>
              </c:extLst>
            </c:dLbl>
            <c:dLbl>
              <c:idx val="3"/>
              <c:layout>
                <c:manualLayout>
                  <c:x val="2.987270341207349E-2"/>
                  <c:y val="8.968722659667520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02F-4F14-AC47-F3F5469D8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Sheet2!$Q$13:$Q$16</c:f>
              <c:strCache>
                <c:ptCount val="4"/>
                <c:pt idx="0">
                  <c:v>Pf</c:v>
                </c:pt>
                <c:pt idx="1">
                  <c:v>Pv</c:v>
                </c:pt>
                <c:pt idx="2">
                  <c:v>Mix</c:v>
                </c:pt>
                <c:pt idx="3">
                  <c:v>Pm</c:v>
                </c:pt>
              </c:strCache>
            </c:strRef>
          </c:cat>
          <c:val>
            <c:numRef>
              <c:f>Sheet2!$R$13:$R$16</c:f>
              <c:numCache>
                <c:formatCode>General</c:formatCode>
                <c:ptCount val="4"/>
                <c:pt idx="0">
                  <c:v>1945</c:v>
                </c:pt>
                <c:pt idx="1">
                  <c:v>67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F-4F14-AC47-F3F5469D80C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Sheet2!$Q$13:$Q$16</c:f>
              <c:strCache>
                <c:ptCount val="4"/>
                <c:pt idx="0">
                  <c:v>Pf</c:v>
                </c:pt>
                <c:pt idx="1">
                  <c:v>Pv</c:v>
                </c:pt>
                <c:pt idx="2">
                  <c:v>Mix</c:v>
                </c:pt>
                <c:pt idx="3">
                  <c:v>Pm</c:v>
                </c:pt>
              </c:strCache>
            </c:strRef>
          </c:cat>
          <c:val>
            <c:numRef>
              <c:f>Sheet2!$S$13:$S$16</c:f>
              <c:numCache>
                <c:formatCode>General</c:formatCode>
                <c:ptCount val="4"/>
                <c:pt idx="0">
                  <c:v>24.79</c:v>
                </c:pt>
                <c:pt idx="1">
                  <c:v>0.85</c:v>
                </c:pt>
                <c:pt idx="2">
                  <c:v>0.14000000000000001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F-4F14-AC47-F3F5469D80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Species</a:t>
            </a:r>
            <a:r>
              <a:rPr lang="en-US" baseline="0"/>
              <a:t> by RDt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Sheet2!$V$7:$V$9</c:f>
              <c:strCache>
                <c:ptCount val="3"/>
                <c:pt idx="0">
                  <c:v>Pf</c:v>
                </c:pt>
                <c:pt idx="1">
                  <c:v>Pv</c:v>
                </c:pt>
                <c:pt idx="2">
                  <c:v>Mix</c:v>
                </c:pt>
              </c:strCache>
            </c:strRef>
          </c:cat>
          <c:val>
            <c:numRef>
              <c:f>Sheet2!$W$7:$W$9</c:f>
              <c:numCache>
                <c:formatCode>General</c:formatCode>
                <c:ptCount val="3"/>
                <c:pt idx="0">
                  <c:v>297</c:v>
                </c:pt>
                <c:pt idx="1">
                  <c:v>42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4-41C9-AE32-76F791B4D1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Sheet2!$L$53</c:f>
              <c:strCache>
                <c:ptCount val="1"/>
                <c:pt idx="0">
                  <c:v>Gametocyte:Asexual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Sheet2!$L$54:$L$56</c:f>
              <c:numCache>
                <c:formatCode>General</c:formatCode>
                <c:ptCount val="3"/>
                <c:pt idx="0">
                  <c:v>0.28699999999999998</c:v>
                </c:pt>
                <c:pt idx="1">
                  <c:v>0.68799999999999994</c:v>
                </c:pt>
                <c:pt idx="2">
                  <c:v>1.4419999999999999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0-4A76-B450-407BA8098D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0066752"/>
        <c:axId val="1870058848"/>
      </c:barChart>
      <c:catAx>
        <c:axId val="187006675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58848"/>
        <c:crosses val="autoZero"/>
        <c:auto val="1"/>
        <c:lblAlgn val="ctr"/>
        <c:lblOffset val="100"/>
        <c:noMultiLvlLbl val="0"/>
      </c:catAx>
      <c:valAx>
        <c:axId val="187005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45720</xdr:rowOff>
    </xdr:from>
    <xdr:to>
      <xdr:col>21</xdr:col>
      <xdr:colOff>563880</xdr:colOff>
      <xdr:row>15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11</xdr:row>
      <xdr:rowOff>144780</xdr:rowOff>
    </xdr:from>
    <xdr:to>
      <xdr:col>11</xdr:col>
      <xdr:colOff>114300</xdr:colOff>
      <xdr:row>26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160020</xdr:colOff>
      <xdr:row>31</xdr:row>
      <xdr:rowOff>15240</xdr:rowOff>
    </xdr:from>
    <xdr:to>
      <xdr:col>11</xdr:col>
      <xdr:colOff>518160</xdr:colOff>
      <xdr:row>46</xdr:row>
      <xdr:rowOff>15240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18</xdr:row>
      <xdr:rowOff>121920</xdr:rowOff>
    </xdr:from>
    <xdr:to>
      <xdr:col>5</xdr:col>
      <xdr:colOff>266700</xdr:colOff>
      <xdr:row>33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16</xdr:row>
      <xdr:rowOff>22860</xdr:rowOff>
    </xdr:from>
    <xdr:to>
      <xdr:col>14</xdr:col>
      <xdr:colOff>358140</xdr:colOff>
      <xdr:row>31</xdr:row>
      <xdr:rowOff>22860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601980</xdr:colOff>
      <xdr:row>18</xdr:row>
      <xdr:rowOff>83820</xdr:rowOff>
    </xdr:from>
    <xdr:to>
      <xdr:col>19</xdr:col>
      <xdr:colOff>167640</xdr:colOff>
      <xdr:row>33</xdr:row>
      <xdr:rowOff>83820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167640</xdr:colOff>
      <xdr:row>9</xdr:row>
      <xdr:rowOff>121920</xdr:rowOff>
    </xdr:from>
    <xdr:to>
      <xdr:col>24</xdr:col>
      <xdr:colOff>30480</xdr:colOff>
      <xdr:row>19</xdr:row>
      <xdr:rowOff>83820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396240</xdr:colOff>
      <xdr:row>53</xdr:row>
      <xdr:rowOff>160020</xdr:rowOff>
    </xdr:from>
    <xdr:to>
      <xdr:col>5</xdr:col>
      <xdr:colOff>327660</xdr:colOff>
      <xdr:row>67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0"/>
  <sheetViews>
    <sheetView tabSelected="1" workbookViewId="0">
      <selection activeCell="P37" sqref="P37"/>
    </sheetView>
  </sheetViews>
  <sheetFormatPr defaultRowHeight="14.4" x14ac:dyDescent="0.3"/>
  <sheetData>
    <row r="2" spans="1:14" x14ac:dyDescent="0.3">
      <c r="C2" t="s">
        <v>12</v>
      </c>
      <c r="D2" t="s">
        <v>13</v>
      </c>
      <c r="E2" t="s">
        <v>0</v>
      </c>
      <c r="F2" t="s">
        <v>1</v>
      </c>
      <c r="G2" t="s">
        <v>2</v>
      </c>
      <c r="H2" t="s">
        <v>3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x14ac:dyDescent="0.3">
      <c r="A3">
        <v>2025</v>
      </c>
      <c r="B3" t="s">
        <v>4</v>
      </c>
      <c r="E3">
        <v>162</v>
      </c>
      <c r="F3">
        <v>257</v>
      </c>
      <c r="G3">
        <v>235</v>
      </c>
      <c r="H3">
        <v>207</v>
      </c>
      <c r="I3">
        <v>113</v>
      </c>
      <c r="J3">
        <v>138</v>
      </c>
      <c r="K3">
        <v>212</v>
      </c>
      <c r="L3">
        <v>77</v>
      </c>
      <c r="M3">
        <v>88</v>
      </c>
      <c r="N3">
        <v>28</v>
      </c>
    </row>
    <row r="4" spans="1:14" x14ac:dyDescent="0.3">
      <c r="B4" t="s">
        <v>5</v>
      </c>
      <c r="E4">
        <v>227</v>
      </c>
      <c r="F4">
        <v>390</v>
      </c>
      <c r="G4">
        <v>586</v>
      </c>
      <c r="H4">
        <v>452</v>
      </c>
      <c r="I4">
        <v>288</v>
      </c>
      <c r="J4">
        <v>408</v>
      </c>
      <c r="K4">
        <v>103</v>
      </c>
      <c r="L4">
        <v>258</v>
      </c>
      <c r="M4">
        <v>299</v>
      </c>
      <c r="N4">
        <v>50</v>
      </c>
    </row>
    <row r="5" spans="1:14" x14ac:dyDescent="0.3">
      <c r="C5" t="s">
        <v>12</v>
      </c>
      <c r="D5" t="s">
        <v>13</v>
      </c>
      <c r="E5" t="s">
        <v>0</v>
      </c>
      <c r="F5" t="s">
        <v>1</v>
      </c>
      <c r="G5" t="s">
        <v>2</v>
      </c>
      <c r="H5" t="s">
        <v>3</v>
      </c>
      <c r="I5" t="s">
        <v>6</v>
      </c>
      <c r="J5" t="s">
        <v>7</v>
      </c>
      <c r="K5" t="s">
        <v>8</v>
      </c>
    </row>
    <row r="6" spans="1:14" x14ac:dyDescent="0.3">
      <c r="A6">
        <v>2026</v>
      </c>
      <c r="B6" t="s">
        <v>4</v>
      </c>
      <c r="C6">
        <v>17</v>
      </c>
      <c r="D6">
        <v>17</v>
      </c>
      <c r="E6">
        <v>29</v>
      </c>
      <c r="F6">
        <v>7</v>
      </c>
      <c r="G6">
        <v>28</v>
      </c>
      <c r="H6">
        <v>145</v>
      </c>
      <c r="I6">
        <v>107</v>
      </c>
      <c r="J6">
        <v>194</v>
      </c>
      <c r="K6">
        <v>79</v>
      </c>
    </row>
    <row r="7" spans="1:14" x14ac:dyDescent="0.3">
      <c r="B7" t="s">
        <v>5</v>
      </c>
      <c r="C7">
        <v>25</v>
      </c>
      <c r="D7">
        <v>167</v>
      </c>
      <c r="E7">
        <v>199</v>
      </c>
      <c r="F7">
        <v>127</v>
      </c>
      <c r="G7">
        <v>140</v>
      </c>
      <c r="H7">
        <v>314</v>
      </c>
      <c r="I7">
        <v>294</v>
      </c>
      <c r="J7">
        <v>449</v>
      </c>
      <c r="K7">
        <v>287</v>
      </c>
    </row>
    <row r="28" spans="1:14" x14ac:dyDescent="0.3">
      <c r="C28" t="s">
        <v>12</v>
      </c>
      <c r="D28" t="s">
        <v>13</v>
      </c>
      <c r="E28" t="s">
        <v>0</v>
      </c>
      <c r="F28" t="s">
        <v>1</v>
      </c>
      <c r="G28" t="s">
        <v>2</v>
      </c>
      <c r="H28" t="s">
        <v>3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t="s">
        <v>11</v>
      </c>
    </row>
    <row r="29" spans="1:14" x14ac:dyDescent="0.3">
      <c r="A29">
        <v>2025</v>
      </c>
      <c r="B29" t="s">
        <v>4</v>
      </c>
      <c r="E29">
        <v>162</v>
      </c>
      <c r="F29">
        <v>257</v>
      </c>
      <c r="G29">
        <v>235</v>
      </c>
      <c r="H29">
        <v>207</v>
      </c>
      <c r="I29">
        <v>113</v>
      </c>
      <c r="J29">
        <v>138</v>
      </c>
      <c r="K29">
        <v>212</v>
      </c>
      <c r="L29">
        <v>77</v>
      </c>
      <c r="M29">
        <v>88</v>
      </c>
      <c r="N29">
        <v>28</v>
      </c>
    </row>
    <row r="30" spans="1:14" x14ac:dyDescent="0.3">
      <c r="A30">
        <v>2026</v>
      </c>
      <c r="B30" t="s">
        <v>4</v>
      </c>
      <c r="C30">
        <v>17</v>
      </c>
      <c r="D30">
        <v>17</v>
      </c>
      <c r="E30">
        <v>29</v>
      </c>
      <c r="F30">
        <v>7</v>
      </c>
      <c r="G30">
        <v>28</v>
      </c>
      <c r="H30">
        <v>145</v>
      </c>
      <c r="I30">
        <v>107</v>
      </c>
      <c r="J30">
        <v>194</v>
      </c>
      <c r="K30">
        <v>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topLeftCell="A19" workbookViewId="0">
      <selection activeCell="H24" sqref="H24"/>
    </sheetView>
  </sheetViews>
  <sheetFormatPr defaultRowHeight="14.4" x14ac:dyDescent="0.3"/>
  <cols>
    <col min="1" max="1" width="19.44140625" customWidth="1"/>
    <col min="2" max="2" width="16.21875" customWidth="1"/>
    <col min="5" max="5" width="14.21875" customWidth="1"/>
    <col min="7" max="7" width="13.33203125" customWidth="1"/>
    <col min="8" max="8" width="21.33203125" customWidth="1"/>
    <col min="10" max="10" width="25.5546875" customWidth="1"/>
    <col min="11" max="11" width="20.44140625" customWidth="1"/>
    <col min="12" max="12" width="31.6640625" customWidth="1"/>
    <col min="16" max="16" width="23.109375" bestFit="1" customWidth="1"/>
    <col min="21" max="21" width="20.33203125" customWidth="1"/>
  </cols>
  <sheetData>
    <row r="1" spans="1:24" x14ac:dyDescent="0.3">
      <c r="A1">
        <v>7636</v>
      </c>
      <c r="C1">
        <v>22.95</v>
      </c>
      <c r="D1">
        <v>16.91</v>
      </c>
      <c r="F1">
        <v>21</v>
      </c>
      <c r="H1">
        <v>113</v>
      </c>
      <c r="I1">
        <v>24</v>
      </c>
      <c r="K1">
        <v>1</v>
      </c>
      <c r="M1">
        <v>5264</v>
      </c>
      <c r="N1">
        <v>67.08</v>
      </c>
      <c r="P1" t="s">
        <v>36</v>
      </c>
      <c r="Q1" t="s">
        <v>5</v>
      </c>
      <c r="R1">
        <v>7806</v>
      </c>
      <c r="S1">
        <v>99.48</v>
      </c>
    </row>
    <row r="2" spans="1:24" x14ac:dyDescent="0.3">
      <c r="A2">
        <v>206</v>
      </c>
      <c r="C2">
        <v>5.79</v>
      </c>
      <c r="D2">
        <v>2.99</v>
      </c>
      <c r="F2">
        <v>6</v>
      </c>
      <c r="H2">
        <v>11</v>
      </c>
      <c r="I2">
        <v>4</v>
      </c>
      <c r="K2">
        <v>1</v>
      </c>
      <c r="M2">
        <v>2039</v>
      </c>
      <c r="N2">
        <v>25.98</v>
      </c>
      <c r="P2" t="s">
        <v>36</v>
      </c>
      <c r="Q2" t="s">
        <v>37</v>
      </c>
      <c r="R2">
        <v>39</v>
      </c>
      <c r="S2">
        <v>0.5</v>
      </c>
    </row>
    <row r="3" spans="1:24" x14ac:dyDescent="0.3">
      <c r="A3">
        <v>7820</v>
      </c>
      <c r="C3">
        <v>5.51</v>
      </c>
      <c r="D3">
        <v>2.36</v>
      </c>
      <c r="F3">
        <v>5</v>
      </c>
      <c r="H3">
        <v>54</v>
      </c>
      <c r="I3">
        <v>3</v>
      </c>
      <c r="K3">
        <v>1</v>
      </c>
      <c r="M3">
        <v>544</v>
      </c>
      <c r="N3">
        <v>6.93</v>
      </c>
      <c r="R3" t="s">
        <v>5</v>
      </c>
      <c r="S3" t="s">
        <v>90</v>
      </c>
    </row>
    <row r="4" spans="1:24" x14ac:dyDescent="0.3">
      <c r="A4">
        <v>6990</v>
      </c>
      <c r="C4">
        <v>2.7</v>
      </c>
      <c r="D4">
        <v>1.33</v>
      </c>
      <c r="F4">
        <v>3</v>
      </c>
      <c r="H4">
        <v>34</v>
      </c>
      <c r="I4">
        <v>1</v>
      </c>
      <c r="K4">
        <v>0</v>
      </c>
    </row>
    <row r="5" spans="1:24" x14ac:dyDescent="0.3">
      <c r="A5">
        <v>7599</v>
      </c>
      <c r="C5">
        <v>5.9</v>
      </c>
      <c r="D5">
        <v>1.55</v>
      </c>
      <c r="F5">
        <v>7</v>
      </c>
      <c r="H5">
        <v>7</v>
      </c>
      <c r="I5">
        <v>3</v>
      </c>
      <c r="K5">
        <v>0</v>
      </c>
    </row>
    <row r="6" spans="1:24" x14ac:dyDescent="0.3">
      <c r="A6">
        <v>3159</v>
      </c>
      <c r="C6">
        <v>2813.5</v>
      </c>
      <c r="D6">
        <v>5424.6</v>
      </c>
      <c r="F6">
        <v>0</v>
      </c>
      <c r="H6">
        <v>100000</v>
      </c>
      <c r="I6">
        <v>5800</v>
      </c>
      <c r="K6">
        <v>0</v>
      </c>
      <c r="W6" t="s">
        <v>5</v>
      </c>
      <c r="X6" t="s">
        <v>90</v>
      </c>
    </row>
    <row r="7" spans="1:24" x14ac:dyDescent="0.3">
      <c r="A7">
        <v>1982</v>
      </c>
      <c r="C7">
        <v>1.07</v>
      </c>
      <c r="D7">
        <v>0.34</v>
      </c>
      <c r="F7">
        <v>1</v>
      </c>
      <c r="H7">
        <v>3</v>
      </c>
      <c r="I7">
        <v>0</v>
      </c>
      <c r="K7">
        <v>0</v>
      </c>
      <c r="R7" t="s">
        <v>5</v>
      </c>
      <c r="S7" t="s">
        <v>90</v>
      </c>
      <c r="U7" t="s">
        <v>44</v>
      </c>
      <c r="V7" t="s">
        <v>40</v>
      </c>
      <c r="W7">
        <v>297</v>
      </c>
      <c r="X7">
        <v>3.78</v>
      </c>
    </row>
    <row r="8" spans="1:24" x14ac:dyDescent="0.3">
      <c r="A8">
        <v>1332</v>
      </c>
      <c r="C8">
        <v>0.48</v>
      </c>
      <c r="D8">
        <v>0.55000000000000004</v>
      </c>
      <c r="F8">
        <v>0</v>
      </c>
      <c r="H8">
        <v>2</v>
      </c>
      <c r="I8">
        <v>1</v>
      </c>
      <c r="K8">
        <v>0</v>
      </c>
      <c r="P8" t="s">
        <v>38</v>
      </c>
      <c r="Q8" t="s">
        <v>4</v>
      </c>
      <c r="R8">
        <v>343</v>
      </c>
      <c r="S8">
        <v>4.37</v>
      </c>
      <c r="U8" t="s">
        <v>44</v>
      </c>
      <c r="V8" t="s">
        <v>41</v>
      </c>
      <c r="W8">
        <v>42</v>
      </c>
      <c r="X8">
        <v>0.54</v>
      </c>
    </row>
    <row r="9" spans="1:24" x14ac:dyDescent="0.3">
      <c r="P9" t="s">
        <v>38</v>
      </c>
      <c r="Q9" t="s">
        <v>5</v>
      </c>
      <c r="R9">
        <v>347</v>
      </c>
      <c r="S9">
        <v>4.42</v>
      </c>
      <c r="U9" t="s">
        <v>44</v>
      </c>
      <c r="V9" t="s">
        <v>43</v>
      </c>
      <c r="W9">
        <v>3</v>
      </c>
      <c r="X9">
        <v>0.04</v>
      </c>
    </row>
    <row r="10" spans="1:24" x14ac:dyDescent="0.3">
      <c r="B10" t="s">
        <v>21</v>
      </c>
      <c r="C10" t="s">
        <v>22</v>
      </c>
      <c r="E10" t="s">
        <v>23</v>
      </c>
      <c r="F10" t="s">
        <v>24</v>
      </c>
      <c r="G10">
        <v>1388</v>
      </c>
      <c r="H10">
        <v>17.690000000000001</v>
      </c>
      <c r="J10" t="s">
        <v>33</v>
      </c>
      <c r="K10" t="s">
        <v>5</v>
      </c>
      <c r="L10">
        <v>5264</v>
      </c>
      <c r="M10">
        <v>67.08</v>
      </c>
      <c r="P10" t="s">
        <v>38</v>
      </c>
      <c r="Q10" t="s">
        <v>29</v>
      </c>
      <c r="R10">
        <v>7157</v>
      </c>
      <c r="S10">
        <v>91.21</v>
      </c>
    </row>
    <row r="11" spans="1:24" x14ac:dyDescent="0.3">
      <c r="A11" t="s">
        <v>14</v>
      </c>
      <c r="B11">
        <v>137</v>
      </c>
      <c r="C11">
        <v>7710</v>
      </c>
      <c r="E11" t="s">
        <v>23</v>
      </c>
      <c r="F11" t="s">
        <v>25</v>
      </c>
      <c r="G11">
        <v>1332</v>
      </c>
      <c r="H11">
        <v>16.97</v>
      </c>
      <c r="K11" t="s">
        <v>4</v>
      </c>
      <c r="L11">
        <v>2039</v>
      </c>
      <c r="M11">
        <v>25.98</v>
      </c>
    </row>
    <row r="12" spans="1:24" x14ac:dyDescent="0.3">
      <c r="A12" t="s">
        <v>15</v>
      </c>
      <c r="B12">
        <v>925</v>
      </c>
      <c r="C12">
        <v>6922</v>
      </c>
      <c r="E12" t="s">
        <v>23</v>
      </c>
      <c r="F12" t="s">
        <v>26</v>
      </c>
      <c r="G12">
        <v>1136</v>
      </c>
      <c r="H12">
        <v>14.48</v>
      </c>
      <c r="K12" t="s">
        <v>35</v>
      </c>
      <c r="L12">
        <v>544</v>
      </c>
      <c r="M12">
        <v>6.93</v>
      </c>
      <c r="R12" t="s">
        <v>5</v>
      </c>
      <c r="S12" t="s">
        <v>90</v>
      </c>
    </row>
    <row r="13" spans="1:24" x14ac:dyDescent="0.3">
      <c r="A13" t="s">
        <v>16</v>
      </c>
      <c r="B13">
        <v>674</v>
      </c>
      <c r="C13">
        <v>7173</v>
      </c>
      <c r="E13" t="s">
        <v>23</v>
      </c>
      <c r="F13" t="s">
        <v>27</v>
      </c>
      <c r="G13">
        <v>1086</v>
      </c>
      <c r="H13">
        <v>13.84</v>
      </c>
      <c r="J13" t="s">
        <v>34</v>
      </c>
      <c r="K13" t="s">
        <v>35</v>
      </c>
      <c r="L13">
        <v>7157</v>
      </c>
      <c r="M13">
        <v>91.21</v>
      </c>
      <c r="P13" t="s">
        <v>39</v>
      </c>
      <c r="Q13" t="s">
        <v>40</v>
      </c>
      <c r="R13">
        <v>1945</v>
      </c>
      <c r="S13">
        <v>24.79</v>
      </c>
    </row>
    <row r="14" spans="1:24" x14ac:dyDescent="0.3">
      <c r="A14" t="s">
        <v>17</v>
      </c>
      <c r="B14">
        <v>3696</v>
      </c>
      <c r="C14">
        <v>3976</v>
      </c>
      <c r="E14" t="s">
        <v>23</v>
      </c>
      <c r="F14" t="s">
        <v>28</v>
      </c>
      <c r="G14">
        <v>1065</v>
      </c>
      <c r="H14">
        <v>13.57</v>
      </c>
      <c r="K14" t="s">
        <v>5</v>
      </c>
      <c r="L14">
        <v>347</v>
      </c>
      <c r="M14">
        <v>4.42</v>
      </c>
      <c r="P14" t="s">
        <v>39</v>
      </c>
      <c r="Q14" t="s">
        <v>41</v>
      </c>
      <c r="R14">
        <v>67</v>
      </c>
      <c r="S14">
        <v>0.85</v>
      </c>
    </row>
    <row r="15" spans="1:24" x14ac:dyDescent="0.3">
      <c r="A15" t="s">
        <v>18</v>
      </c>
      <c r="B15">
        <v>6238</v>
      </c>
      <c r="C15">
        <v>1361</v>
      </c>
      <c r="E15" t="s">
        <v>23</v>
      </c>
      <c r="F15" t="s">
        <v>29</v>
      </c>
      <c r="G15">
        <v>964</v>
      </c>
      <c r="H15">
        <v>12.28</v>
      </c>
      <c r="K15" t="s">
        <v>4</v>
      </c>
      <c r="L15">
        <v>343</v>
      </c>
      <c r="M15">
        <v>4.37</v>
      </c>
      <c r="P15" t="s">
        <v>39</v>
      </c>
      <c r="Q15" t="s">
        <v>43</v>
      </c>
      <c r="R15">
        <v>11</v>
      </c>
      <c r="S15">
        <v>0.14000000000000001</v>
      </c>
    </row>
    <row r="16" spans="1:24" x14ac:dyDescent="0.3">
      <c r="A16" t="s">
        <v>19</v>
      </c>
      <c r="B16">
        <v>3223</v>
      </c>
      <c r="C16">
        <v>4600</v>
      </c>
      <c r="E16" t="s">
        <v>23</v>
      </c>
      <c r="F16" t="s">
        <v>30</v>
      </c>
      <c r="G16">
        <v>763</v>
      </c>
      <c r="H16">
        <v>9.7200000000000006</v>
      </c>
      <c r="P16" t="s">
        <v>39</v>
      </c>
      <c r="Q16" t="s">
        <v>42</v>
      </c>
      <c r="R16">
        <v>4</v>
      </c>
      <c r="S16">
        <v>0.05</v>
      </c>
    </row>
    <row r="17" spans="1:19" x14ac:dyDescent="0.3">
      <c r="A17" t="s">
        <v>20</v>
      </c>
      <c r="B17">
        <v>78</v>
      </c>
      <c r="C17">
        <v>7769</v>
      </c>
      <c r="E17" t="s">
        <v>23</v>
      </c>
      <c r="F17" t="s">
        <v>31</v>
      </c>
      <c r="G17">
        <v>111</v>
      </c>
      <c r="H17">
        <v>1.41</v>
      </c>
      <c r="P17" t="s">
        <v>39</v>
      </c>
      <c r="Q17">
        <v>7</v>
      </c>
      <c r="R17">
        <v>3</v>
      </c>
      <c r="S17">
        <v>0.04</v>
      </c>
    </row>
    <row r="18" spans="1:19" x14ac:dyDescent="0.3">
      <c r="E18" t="s">
        <v>23</v>
      </c>
      <c r="F18" t="s">
        <v>32</v>
      </c>
      <c r="G18">
        <v>2</v>
      </c>
      <c r="H18">
        <v>0.03</v>
      </c>
      <c r="P18" t="s">
        <v>39</v>
      </c>
      <c r="Q18">
        <v>5</v>
      </c>
      <c r="R18">
        <v>1</v>
      </c>
      <c r="S18">
        <v>0.01</v>
      </c>
    </row>
    <row r="21" spans="1:19" x14ac:dyDescent="0.3">
      <c r="G21" t="s">
        <v>112</v>
      </c>
      <c r="H21" t="s">
        <v>114</v>
      </c>
    </row>
    <row r="22" spans="1:19" x14ac:dyDescent="0.3">
      <c r="G22">
        <v>2025</v>
      </c>
      <c r="H22">
        <v>4633</v>
      </c>
    </row>
    <row r="23" spans="1:19" x14ac:dyDescent="0.3">
      <c r="G23">
        <v>2026</v>
      </c>
      <c r="H23">
        <v>3214</v>
      </c>
    </row>
    <row r="24" spans="1:19" x14ac:dyDescent="0.3">
      <c r="G24" t="s">
        <v>113</v>
      </c>
      <c r="H24">
        <v>7847</v>
      </c>
    </row>
    <row r="38" spans="1:23" x14ac:dyDescent="0.3">
      <c r="H38" t="s">
        <v>45</v>
      </c>
      <c r="I38" t="s">
        <v>5</v>
      </c>
      <c r="J38" t="s">
        <v>90</v>
      </c>
      <c r="M38" t="s">
        <v>5</v>
      </c>
      <c r="N38" t="s">
        <v>90</v>
      </c>
      <c r="Q38" t="s">
        <v>5</v>
      </c>
      <c r="R38" t="s">
        <v>90</v>
      </c>
      <c r="U38" t="s">
        <v>91</v>
      </c>
      <c r="V38" t="s">
        <v>5</v>
      </c>
      <c r="W38" t="s">
        <v>90</v>
      </c>
    </row>
    <row r="39" spans="1:23" x14ac:dyDescent="0.3">
      <c r="A39" t="s">
        <v>92</v>
      </c>
      <c r="B39">
        <v>3338</v>
      </c>
      <c r="C39">
        <v>42.54</v>
      </c>
      <c r="G39" t="s">
        <v>45</v>
      </c>
      <c r="H39">
        <v>1</v>
      </c>
      <c r="I39">
        <v>3728</v>
      </c>
      <c r="J39">
        <v>47.51</v>
      </c>
      <c r="L39" t="s">
        <v>88</v>
      </c>
      <c r="M39">
        <v>6453</v>
      </c>
      <c r="N39">
        <v>82.24</v>
      </c>
      <c r="P39" t="s">
        <v>60</v>
      </c>
      <c r="Q39">
        <v>1199</v>
      </c>
      <c r="R39">
        <v>15.28</v>
      </c>
      <c r="U39" t="s">
        <v>67</v>
      </c>
      <c r="V39">
        <v>6538</v>
      </c>
      <c r="W39">
        <v>83.32</v>
      </c>
    </row>
    <row r="40" spans="1:23" x14ac:dyDescent="0.3">
      <c r="A40" t="s">
        <v>93</v>
      </c>
      <c r="B40">
        <v>1391</v>
      </c>
      <c r="C40">
        <v>17.73</v>
      </c>
      <c r="G40" t="s">
        <v>45</v>
      </c>
      <c r="H40">
        <v>5</v>
      </c>
      <c r="I40">
        <v>1703</v>
      </c>
      <c r="J40">
        <v>21.7</v>
      </c>
      <c r="L40" t="s">
        <v>78</v>
      </c>
      <c r="M40">
        <v>2733</v>
      </c>
      <c r="N40">
        <v>34.83</v>
      </c>
      <c r="P40" t="s">
        <v>61</v>
      </c>
      <c r="Q40">
        <v>1535</v>
      </c>
      <c r="R40">
        <v>19.559999999999999</v>
      </c>
      <c r="U40" t="s">
        <v>68</v>
      </c>
      <c r="V40">
        <v>5418</v>
      </c>
      <c r="W40">
        <v>69.05</v>
      </c>
    </row>
    <row r="41" spans="1:23" x14ac:dyDescent="0.3">
      <c r="A41" t="s">
        <v>94</v>
      </c>
      <c r="B41">
        <v>1364</v>
      </c>
      <c r="C41">
        <v>17.38</v>
      </c>
      <c r="G41" t="s">
        <v>45</v>
      </c>
      <c r="H41">
        <v>2</v>
      </c>
      <c r="I41">
        <v>898</v>
      </c>
      <c r="J41">
        <v>11.44</v>
      </c>
      <c r="L41" t="s">
        <v>89</v>
      </c>
      <c r="M41">
        <v>2190</v>
      </c>
      <c r="N41">
        <v>27.91</v>
      </c>
      <c r="P41" t="s">
        <v>62</v>
      </c>
      <c r="Q41">
        <v>1622</v>
      </c>
      <c r="R41">
        <v>20.67</v>
      </c>
      <c r="U41" t="s">
        <v>74</v>
      </c>
      <c r="V41">
        <v>4746</v>
      </c>
      <c r="W41">
        <v>60.48</v>
      </c>
    </row>
    <row r="42" spans="1:23" x14ac:dyDescent="0.3">
      <c r="A42" t="s">
        <v>95</v>
      </c>
      <c r="B42">
        <v>920</v>
      </c>
      <c r="C42">
        <v>11.72</v>
      </c>
      <c r="G42" t="s">
        <v>45</v>
      </c>
      <c r="H42">
        <v>3</v>
      </c>
      <c r="I42">
        <v>536</v>
      </c>
      <c r="J42">
        <v>6.83</v>
      </c>
      <c r="L42" t="s">
        <v>80</v>
      </c>
      <c r="M42">
        <v>2112</v>
      </c>
      <c r="N42">
        <v>26.91</v>
      </c>
      <c r="P42" t="s">
        <v>63</v>
      </c>
      <c r="Q42">
        <v>2335</v>
      </c>
      <c r="R42">
        <v>29.76</v>
      </c>
      <c r="U42" t="s">
        <v>75</v>
      </c>
      <c r="V42">
        <v>2755</v>
      </c>
      <c r="W42">
        <v>35.11</v>
      </c>
    </row>
    <row r="43" spans="1:23" x14ac:dyDescent="0.3">
      <c r="A43" t="s">
        <v>96</v>
      </c>
      <c r="B43">
        <v>497</v>
      </c>
      <c r="C43">
        <v>6.33</v>
      </c>
      <c r="G43" t="s">
        <v>45</v>
      </c>
      <c r="H43">
        <v>4</v>
      </c>
      <c r="I43">
        <v>283</v>
      </c>
      <c r="J43">
        <v>3.61</v>
      </c>
      <c r="L43" t="s">
        <v>79</v>
      </c>
      <c r="M43">
        <v>1941</v>
      </c>
      <c r="N43">
        <v>24.74</v>
      </c>
      <c r="P43" t="s">
        <v>64</v>
      </c>
      <c r="Q43">
        <v>595</v>
      </c>
      <c r="R43">
        <v>7.58</v>
      </c>
      <c r="U43" t="s">
        <v>70</v>
      </c>
      <c r="V43">
        <v>2015</v>
      </c>
      <c r="W43">
        <v>25.68</v>
      </c>
    </row>
    <row r="44" spans="1:23" x14ac:dyDescent="0.3">
      <c r="A44" t="s">
        <v>97</v>
      </c>
      <c r="B44">
        <v>253</v>
      </c>
      <c r="C44">
        <v>3.22</v>
      </c>
      <c r="G44" t="s">
        <v>45</v>
      </c>
      <c r="H44" t="s">
        <v>46</v>
      </c>
      <c r="I44">
        <v>235</v>
      </c>
      <c r="J44">
        <v>2.99</v>
      </c>
      <c r="L44" t="s">
        <v>81</v>
      </c>
      <c r="M44">
        <v>1506</v>
      </c>
      <c r="N44">
        <v>19.190000000000001</v>
      </c>
      <c r="P44" t="s">
        <v>65</v>
      </c>
      <c r="Q44">
        <v>350</v>
      </c>
      <c r="R44">
        <v>4.46</v>
      </c>
      <c r="U44" t="s">
        <v>71</v>
      </c>
      <c r="V44">
        <v>1831</v>
      </c>
      <c r="W44">
        <v>23.33</v>
      </c>
    </row>
    <row r="45" spans="1:23" x14ac:dyDescent="0.3">
      <c r="A45" t="s">
        <v>98</v>
      </c>
      <c r="B45">
        <v>66</v>
      </c>
      <c r="C45">
        <v>0.84</v>
      </c>
      <c r="G45" t="s">
        <v>45</v>
      </c>
      <c r="H45" t="s">
        <v>47</v>
      </c>
      <c r="I45">
        <v>123</v>
      </c>
      <c r="J45">
        <v>1.57</v>
      </c>
      <c r="L45" t="s">
        <v>82</v>
      </c>
      <c r="M45">
        <v>1027</v>
      </c>
      <c r="N45">
        <v>13.09</v>
      </c>
      <c r="P45" t="s">
        <v>66</v>
      </c>
      <c r="Q45">
        <v>211</v>
      </c>
      <c r="R45">
        <v>2.69</v>
      </c>
      <c r="U45" t="s">
        <v>69</v>
      </c>
      <c r="V45">
        <v>1772</v>
      </c>
      <c r="W45">
        <v>22.58</v>
      </c>
    </row>
    <row r="46" spans="1:23" x14ac:dyDescent="0.3">
      <c r="A46" t="s">
        <v>99</v>
      </c>
      <c r="B46">
        <v>15</v>
      </c>
      <c r="C46">
        <v>0.19</v>
      </c>
      <c r="G46" t="s">
        <v>45</v>
      </c>
      <c r="H46" t="s">
        <v>48</v>
      </c>
      <c r="I46">
        <v>88</v>
      </c>
      <c r="J46">
        <v>1.1200000000000001</v>
      </c>
      <c r="L46" t="s">
        <v>83</v>
      </c>
      <c r="M46">
        <v>366</v>
      </c>
      <c r="N46">
        <v>4.66</v>
      </c>
      <c r="U46" t="s">
        <v>72</v>
      </c>
      <c r="V46">
        <v>1416</v>
      </c>
      <c r="W46">
        <v>18.05</v>
      </c>
    </row>
    <row r="47" spans="1:23" x14ac:dyDescent="0.3">
      <c r="A47" t="s">
        <v>100</v>
      </c>
      <c r="B47">
        <v>3</v>
      </c>
      <c r="C47">
        <v>0.04</v>
      </c>
      <c r="G47" t="s">
        <v>45</v>
      </c>
      <c r="H47" t="s">
        <v>49</v>
      </c>
      <c r="I47">
        <v>61</v>
      </c>
      <c r="J47">
        <v>0.78</v>
      </c>
      <c r="L47" t="s">
        <v>84</v>
      </c>
      <c r="M47">
        <v>145</v>
      </c>
      <c r="N47">
        <v>1.85</v>
      </c>
      <c r="U47" t="s">
        <v>73</v>
      </c>
      <c r="V47">
        <v>803</v>
      </c>
      <c r="W47">
        <v>10.23</v>
      </c>
    </row>
    <row r="48" spans="1:23" x14ac:dyDescent="0.3">
      <c r="G48" t="s">
        <v>45</v>
      </c>
      <c r="H48" t="s">
        <v>50</v>
      </c>
      <c r="I48">
        <v>18</v>
      </c>
      <c r="J48">
        <v>0.23</v>
      </c>
      <c r="L48" t="s">
        <v>85</v>
      </c>
      <c r="M48">
        <v>121</v>
      </c>
      <c r="N48">
        <v>1.54</v>
      </c>
      <c r="U48" t="s">
        <v>76</v>
      </c>
      <c r="V48">
        <v>803</v>
      </c>
      <c r="W48">
        <v>10.23</v>
      </c>
    </row>
    <row r="49" spans="1:23" x14ac:dyDescent="0.3">
      <c r="G49" t="s">
        <v>45</v>
      </c>
      <c r="H49" t="s">
        <v>51</v>
      </c>
      <c r="I49">
        <v>17</v>
      </c>
      <c r="J49">
        <v>0.22</v>
      </c>
      <c r="L49" t="s">
        <v>86</v>
      </c>
      <c r="M49">
        <v>44</v>
      </c>
      <c r="N49">
        <v>0.56000000000000005</v>
      </c>
      <c r="U49" t="s">
        <v>77</v>
      </c>
      <c r="V49">
        <v>287</v>
      </c>
      <c r="W49">
        <v>3.66</v>
      </c>
    </row>
    <row r="50" spans="1:23" x14ac:dyDescent="0.3">
      <c r="G50" t="s">
        <v>45</v>
      </c>
      <c r="H50" t="s">
        <v>52</v>
      </c>
      <c r="I50">
        <v>14</v>
      </c>
      <c r="J50">
        <v>0.18</v>
      </c>
      <c r="L50" t="s">
        <v>87</v>
      </c>
      <c r="M50">
        <v>8</v>
      </c>
      <c r="N50">
        <v>0.1</v>
      </c>
    </row>
    <row r="51" spans="1:23" x14ac:dyDescent="0.3">
      <c r="G51" t="s">
        <v>45</v>
      </c>
      <c r="H51">
        <v>6</v>
      </c>
      <c r="I51">
        <v>11</v>
      </c>
      <c r="J51">
        <v>0.14000000000000001</v>
      </c>
    </row>
    <row r="53" spans="1:23" x14ac:dyDescent="0.3">
      <c r="H53" t="s">
        <v>108</v>
      </c>
      <c r="I53" t="s">
        <v>5</v>
      </c>
      <c r="J53" t="s">
        <v>109</v>
      </c>
      <c r="K53" t="s">
        <v>110</v>
      </c>
      <c r="L53" t="s">
        <v>111</v>
      </c>
    </row>
    <row r="54" spans="1:23" x14ac:dyDescent="0.3">
      <c r="A54" t="s">
        <v>101</v>
      </c>
      <c r="B54" t="s">
        <v>5</v>
      </c>
      <c r="C54" t="s">
        <v>102</v>
      </c>
      <c r="D54" t="s">
        <v>103</v>
      </c>
      <c r="E54" t="s">
        <v>104</v>
      </c>
      <c r="H54" t="s">
        <v>40</v>
      </c>
      <c r="I54">
        <v>1945</v>
      </c>
      <c r="J54">
        <v>1.0602855630000001</v>
      </c>
      <c r="K54">
        <v>0.46079999999999999</v>
      </c>
      <c r="L54">
        <v>0.28699999999999998</v>
      </c>
    </row>
    <row r="55" spans="1:23" x14ac:dyDescent="0.3">
      <c r="A55" t="s">
        <v>105</v>
      </c>
      <c r="B55">
        <v>1251</v>
      </c>
      <c r="C55">
        <v>1.0759392489999999</v>
      </c>
      <c r="D55">
        <v>0.47242206199999998</v>
      </c>
      <c r="E55">
        <v>0.439</v>
      </c>
      <c r="H55" t="s">
        <v>41</v>
      </c>
      <c r="I55">
        <v>67</v>
      </c>
      <c r="J55">
        <v>1.1846153850000001</v>
      </c>
      <c r="K55">
        <v>0.88333333300000005</v>
      </c>
      <c r="L55">
        <v>0.68799999999999994</v>
      </c>
    </row>
    <row r="56" spans="1:23" x14ac:dyDescent="0.3">
      <c r="A56" t="s">
        <v>106</v>
      </c>
      <c r="B56">
        <v>60</v>
      </c>
      <c r="C56">
        <v>1.183333333</v>
      </c>
      <c r="D56">
        <v>0.88333333300000005</v>
      </c>
      <c r="E56">
        <v>0.746</v>
      </c>
      <c r="H56" t="s">
        <v>43</v>
      </c>
      <c r="I56">
        <v>11</v>
      </c>
      <c r="J56">
        <v>2.96</v>
      </c>
      <c r="K56">
        <v>2.29</v>
      </c>
      <c r="L56">
        <v>1.4419999999999999</v>
      </c>
    </row>
    <row r="57" spans="1:23" x14ac:dyDescent="0.3">
      <c r="A57" t="s">
        <v>43</v>
      </c>
      <c r="B57">
        <v>10</v>
      </c>
      <c r="C57">
        <v>2.9</v>
      </c>
      <c r="D57">
        <v>2.29</v>
      </c>
      <c r="E57">
        <v>1.57</v>
      </c>
      <c r="H57">
        <v>6</v>
      </c>
      <c r="I57">
        <v>8</v>
      </c>
      <c r="J57">
        <v>2.96</v>
      </c>
      <c r="K57">
        <v>1.2857142859999999</v>
      </c>
      <c r="L57">
        <v>0.69199999999999995</v>
      </c>
    </row>
    <row r="58" spans="1:23" x14ac:dyDescent="0.3">
      <c r="H58">
        <v>3</v>
      </c>
      <c r="I58">
        <v>4</v>
      </c>
      <c r="J58">
        <v>1</v>
      </c>
      <c r="K58">
        <v>0</v>
      </c>
      <c r="L58">
        <v>0</v>
      </c>
    </row>
    <row r="60" spans="1:23" x14ac:dyDescent="0.3">
      <c r="H60">
        <v>5</v>
      </c>
      <c r="I60">
        <v>1</v>
      </c>
      <c r="J60">
        <v>1</v>
      </c>
      <c r="K60">
        <v>0</v>
      </c>
      <c r="L60">
        <v>0</v>
      </c>
    </row>
    <row r="61" spans="1:23" x14ac:dyDescent="0.3">
      <c r="H61" t="s">
        <v>107</v>
      </c>
      <c r="I61">
        <v>11</v>
      </c>
      <c r="J61">
        <v>0.9</v>
      </c>
      <c r="K61">
        <v>0.375</v>
      </c>
      <c r="L61">
        <v>0.33300000000000002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opLeftCell="C46" workbookViewId="0">
      <selection activeCell="F63" sqref="F63:F64"/>
    </sheetView>
  </sheetViews>
  <sheetFormatPr defaultRowHeight="14.4" x14ac:dyDescent="0.3"/>
  <cols>
    <col min="1" max="1" width="19.109375" customWidth="1"/>
    <col min="2" max="2" width="13.109375" customWidth="1"/>
    <col min="3" max="3" width="17.77734375" customWidth="1"/>
    <col min="4" max="4" width="12.77734375" customWidth="1"/>
    <col min="5" max="5" width="36.109375" customWidth="1"/>
    <col min="7" max="7" width="11.5546875" customWidth="1"/>
    <col min="8" max="8" width="24.5546875" customWidth="1"/>
    <col min="9" max="9" width="12.77734375" customWidth="1"/>
    <col min="10" max="10" width="11.33203125" customWidth="1"/>
    <col min="12" max="12" width="14.109375" customWidth="1"/>
    <col min="13" max="13" width="15.6640625" customWidth="1"/>
    <col min="14" max="14" width="10.44140625" customWidth="1"/>
    <col min="17" max="17" width="12" bestFit="1" customWidth="1"/>
    <col min="18" max="18" width="12" customWidth="1"/>
  </cols>
  <sheetData>
    <row r="1" spans="1:14" x14ac:dyDescent="0.3">
      <c r="B1" t="s">
        <v>139</v>
      </c>
      <c r="C1" t="s">
        <v>140</v>
      </c>
      <c r="D1" t="s">
        <v>129</v>
      </c>
      <c r="H1" t="s">
        <v>121</v>
      </c>
      <c r="I1" t="s">
        <v>139</v>
      </c>
      <c r="J1" t="s">
        <v>140</v>
      </c>
      <c r="L1" t="s">
        <v>124</v>
      </c>
      <c r="M1" t="s">
        <v>139</v>
      </c>
      <c r="N1" t="s">
        <v>140</v>
      </c>
    </row>
    <row r="2" spans="1:14" x14ac:dyDescent="0.3">
      <c r="A2" t="s">
        <v>24</v>
      </c>
      <c r="B2">
        <v>1153</v>
      </c>
      <c r="C2">
        <v>3203</v>
      </c>
      <c r="D2">
        <f>SUM(C2:C3)</f>
        <v>5264</v>
      </c>
      <c r="H2" t="s">
        <v>24</v>
      </c>
      <c r="I2">
        <f>(D2*B4)/D4</f>
        <v>852.5932162999444</v>
      </c>
      <c r="J2">
        <f>(D2*C4)/D4</f>
        <v>2201.1038207959327</v>
      </c>
      <c r="L2" t="s">
        <v>24</v>
      </c>
      <c r="M2">
        <f>(B2-I2)^2/I2</f>
        <v>105.8467672129165</v>
      </c>
      <c r="N2">
        <f>(C2-J2)^2/J2</f>
        <v>456.0420750806428</v>
      </c>
    </row>
    <row r="3" spans="1:14" x14ac:dyDescent="0.3">
      <c r="A3" t="s">
        <v>115</v>
      </c>
      <c r="B3">
        <v>886</v>
      </c>
      <c r="C3">
        <v>2061</v>
      </c>
      <c r="D3">
        <f>SUM(C3:C4)</f>
        <v>7325</v>
      </c>
      <c r="H3" t="s">
        <v>115</v>
      </c>
      <c r="I3">
        <f>(D3*B4)/D4</f>
        <v>1186.4067837000557</v>
      </c>
      <c r="J3">
        <f>(D3*C4)/D4</f>
        <v>3062.8961792040673</v>
      </c>
      <c r="L3" t="s">
        <v>115</v>
      </c>
      <c r="M3">
        <f>(B3-I3)^2/I3</f>
        <v>76.065171687207226</v>
      </c>
      <c r="N3">
        <f>(C3-J3)^2/J3</f>
        <v>327.72771102041003</v>
      </c>
    </row>
    <row r="4" spans="1:14" ht="15.6" x14ac:dyDescent="0.3">
      <c r="A4" t="s">
        <v>138</v>
      </c>
      <c r="B4">
        <f>SUM(B2:B3)</f>
        <v>2039</v>
      </c>
      <c r="C4">
        <f>SUM(C2:C3)</f>
        <v>5264</v>
      </c>
      <c r="D4" s="3">
        <f>SUM(D2:D3)</f>
        <v>12589</v>
      </c>
    </row>
    <row r="5" spans="1:14" ht="15.6" x14ac:dyDescent="0.3">
      <c r="D5" s="3"/>
    </row>
    <row r="6" spans="1:14" x14ac:dyDescent="0.3">
      <c r="E6" t="s">
        <v>131</v>
      </c>
      <c r="F6" t="s">
        <v>142</v>
      </c>
      <c r="G6" t="s">
        <v>143</v>
      </c>
    </row>
    <row r="7" spans="1:14" x14ac:dyDescent="0.3">
      <c r="A7" t="s">
        <v>125</v>
      </c>
      <c r="B7">
        <f>SUM(M2:N3)</f>
        <v>965.68172500117657</v>
      </c>
      <c r="D7" t="s">
        <v>24</v>
      </c>
    </row>
    <row r="8" spans="1:14" x14ac:dyDescent="0.3">
      <c r="A8" t="s">
        <v>141</v>
      </c>
      <c r="B8">
        <f>(2-1)*(2-1)</f>
        <v>1</v>
      </c>
      <c r="D8" t="s">
        <v>115</v>
      </c>
    </row>
    <row r="9" spans="1:14" x14ac:dyDescent="0.3">
      <c r="A9" t="s">
        <v>127</v>
      </c>
      <c r="B9">
        <f>_xlfn.CHISQ.DIST.RT(B7,B8)</f>
        <v>5.1754994135742216E-212</v>
      </c>
    </row>
    <row r="10" spans="1:14" x14ac:dyDescent="0.3">
      <c r="H10" s="1"/>
      <c r="L10" s="1"/>
    </row>
    <row r="11" spans="1:14" x14ac:dyDescent="0.3">
      <c r="H11" s="1"/>
      <c r="L11" s="1"/>
    </row>
    <row r="12" spans="1:14" x14ac:dyDescent="0.3">
      <c r="H12" s="1"/>
      <c r="L12" s="1"/>
    </row>
    <row r="13" spans="1:14" x14ac:dyDescent="0.3">
      <c r="H13" s="1" t="s">
        <v>121</v>
      </c>
      <c r="L13" s="1" t="s">
        <v>124</v>
      </c>
    </row>
    <row r="14" spans="1:14" x14ac:dyDescent="0.3">
      <c r="B14" t="s">
        <v>117</v>
      </c>
      <c r="C14" t="s">
        <v>118</v>
      </c>
      <c r="D14" t="s">
        <v>119</v>
      </c>
      <c r="E14" t="s">
        <v>129</v>
      </c>
      <c r="H14" t="s">
        <v>117</v>
      </c>
      <c r="I14" t="s">
        <v>122</v>
      </c>
      <c r="J14" t="s">
        <v>119</v>
      </c>
      <c r="L14" t="s">
        <v>117</v>
      </c>
      <c r="M14" t="s">
        <v>122</v>
      </c>
      <c r="N14" t="s">
        <v>119</v>
      </c>
    </row>
    <row r="15" spans="1:14" x14ac:dyDescent="0.3">
      <c r="A15" t="s">
        <v>116</v>
      </c>
      <c r="B15" t="s">
        <v>60</v>
      </c>
      <c r="C15">
        <v>304</v>
      </c>
      <c r="D15">
        <v>873</v>
      </c>
      <c r="E15">
        <f>SUM(C15:D15)</f>
        <v>1177</v>
      </c>
      <c r="H15" t="s">
        <v>53</v>
      </c>
      <c r="I15">
        <f>(E15*C22)/E22</f>
        <v>328.61878679994521</v>
      </c>
      <c r="J15">
        <f>(E15*D22)/E22</f>
        <v>848.38121320005473</v>
      </c>
      <c r="L15" t="s">
        <v>53</v>
      </c>
      <c r="M15">
        <f>(C15-I15)^2/I15</f>
        <v>1.8443396660402305</v>
      </c>
      <c r="N15">
        <f>(D15-J15)^2/J15</f>
        <v>0.71440132580851956</v>
      </c>
    </row>
    <row r="16" spans="1:14" x14ac:dyDescent="0.3">
      <c r="B16" t="s">
        <v>61</v>
      </c>
      <c r="C16">
        <v>553</v>
      </c>
      <c r="D16">
        <v>881</v>
      </c>
      <c r="E16">
        <f>SUM(C16:D16)</f>
        <v>1434</v>
      </c>
      <c r="H16" t="s">
        <v>54</v>
      </c>
      <c r="I16">
        <f>(E16*C22)/E22</f>
        <v>400.37327125838698</v>
      </c>
      <c r="J16">
        <f>(E16*D22)/E22</f>
        <v>1033.6267287416131</v>
      </c>
      <c r="L16" t="s">
        <v>54</v>
      </c>
      <c r="M16">
        <f t="shared" ref="M16:M21" si="0">(C16-I16)^2/I16</f>
        <v>58.18300071118432</v>
      </c>
      <c r="N16">
        <f t="shared" ref="N16:N21" si="1">(D16-J16)^2/J16</f>
        <v>22.537070374260054</v>
      </c>
    </row>
    <row r="17" spans="1:14" x14ac:dyDescent="0.3">
      <c r="B17" t="s">
        <v>62</v>
      </c>
      <c r="C17">
        <v>474</v>
      </c>
      <c r="D17">
        <v>1056</v>
      </c>
      <c r="E17">
        <f t="shared" ref="E17:E21" si="2">SUM(C17:D17)</f>
        <v>1530</v>
      </c>
      <c r="H17" t="s">
        <v>55</v>
      </c>
      <c r="I17">
        <f>(E17*C22)/E22</f>
        <v>427.17650280706562</v>
      </c>
      <c r="J17">
        <f>(E17*D22)/E22</f>
        <v>1102.8234971929344</v>
      </c>
      <c r="L17" t="s">
        <v>55</v>
      </c>
      <c r="M17">
        <f t="shared" si="0"/>
        <v>5.1323981421491007</v>
      </c>
      <c r="N17">
        <f t="shared" si="1"/>
        <v>1.9880242803651249</v>
      </c>
    </row>
    <row r="18" spans="1:14" x14ac:dyDescent="0.3">
      <c r="B18" t="s">
        <v>63</v>
      </c>
      <c r="C18">
        <v>507</v>
      </c>
      <c r="D18">
        <v>1599</v>
      </c>
      <c r="E18">
        <f t="shared" si="2"/>
        <v>2106</v>
      </c>
      <c r="H18" t="s">
        <v>56</v>
      </c>
      <c r="I18">
        <f>(E18*C22)/E22</f>
        <v>587.99589209913734</v>
      </c>
      <c r="J18">
        <f>(E18*D22)/E22</f>
        <v>1518.0041079008627</v>
      </c>
      <c r="L18" t="s">
        <v>56</v>
      </c>
      <c r="M18">
        <f t="shared" si="0"/>
        <v>11.157109471487621</v>
      </c>
      <c r="N18">
        <f t="shared" si="1"/>
        <v>4.3216843108592817</v>
      </c>
    </row>
    <row r="19" spans="1:14" x14ac:dyDescent="0.3">
      <c r="B19" t="s">
        <v>64</v>
      </c>
      <c r="C19">
        <v>98</v>
      </c>
      <c r="D19">
        <v>428</v>
      </c>
      <c r="E19">
        <f t="shared" si="2"/>
        <v>526</v>
      </c>
      <c r="H19" t="s">
        <v>57</v>
      </c>
      <c r="I19">
        <f>(E19*C22)/E22</f>
        <v>146.85937286046831</v>
      </c>
      <c r="J19">
        <f>(E19*D22)/E22</f>
        <v>379.14062713953172</v>
      </c>
      <c r="L19" t="s">
        <v>57</v>
      </c>
      <c r="M19">
        <f t="shared" si="0"/>
        <v>16.255266993318788</v>
      </c>
      <c r="N19">
        <f t="shared" si="1"/>
        <v>6.2964455545928901</v>
      </c>
    </row>
    <row r="20" spans="1:14" x14ac:dyDescent="0.3">
      <c r="B20" t="s">
        <v>65</v>
      </c>
      <c r="C20">
        <v>63</v>
      </c>
      <c r="D20">
        <v>256</v>
      </c>
      <c r="E20">
        <f t="shared" si="2"/>
        <v>319</v>
      </c>
      <c r="H20" t="s">
        <v>58</v>
      </c>
      <c r="I20">
        <f>(E20*C22)/E22</f>
        <v>89.06490483363001</v>
      </c>
      <c r="J20">
        <f>(E20*D22)/E22</f>
        <v>229.93509516636999</v>
      </c>
      <c r="L20" t="s">
        <v>58</v>
      </c>
      <c r="M20">
        <f t="shared" si="0"/>
        <v>7.6279120856328841</v>
      </c>
      <c r="N20">
        <f t="shared" si="1"/>
        <v>2.9546566760268709</v>
      </c>
    </row>
    <row r="21" spans="1:14" x14ac:dyDescent="0.3">
      <c r="B21" t="s">
        <v>66</v>
      </c>
      <c r="C21">
        <v>40</v>
      </c>
      <c r="D21">
        <v>171</v>
      </c>
      <c r="E21">
        <f t="shared" si="2"/>
        <v>211</v>
      </c>
      <c r="H21" t="s">
        <v>59</v>
      </c>
      <c r="I21">
        <f>(E21*C22)/E22</f>
        <v>58.911269341366562</v>
      </c>
      <c r="J21">
        <f>(E21*D22)/E22</f>
        <v>152.08873065863344</v>
      </c>
      <c r="L21" t="s">
        <v>59</v>
      </c>
      <c r="M21">
        <f t="shared" si="0"/>
        <v>6.0707588225498386</v>
      </c>
      <c r="N21">
        <f t="shared" si="1"/>
        <v>2.3514964360142705</v>
      </c>
    </row>
    <row r="22" spans="1:14" x14ac:dyDescent="0.3">
      <c r="A22" t="s">
        <v>130</v>
      </c>
      <c r="C22">
        <f>SUM(C15:C21)</f>
        <v>2039</v>
      </c>
      <c r="D22">
        <f t="shared" ref="D22:E22" si="3">SUM(D15:D21)</f>
        <v>5264</v>
      </c>
      <c r="E22">
        <f t="shared" si="3"/>
        <v>7303</v>
      </c>
    </row>
    <row r="24" spans="1:14" x14ac:dyDescent="0.3">
      <c r="K24" s="1" t="s">
        <v>128</v>
      </c>
      <c r="L24">
        <f>SUM(M15:N21)</f>
        <v>147.43456485028977</v>
      </c>
    </row>
    <row r="25" spans="1:14" x14ac:dyDescent="0.3">
      <c r="B25" t="s">
        <v>131</v>
      </c>
      <c r="C25" t="s">
        <v>131</v>
      </c>
      <c r="D25" t="s">
        <v>133</v>
      </c>
      <c r="E25" t="s">
        <v>134</v>
      </c>
      <c r="K25" s="1" t="s">
        <v>126</v>
      </c>
      <c r="L25">
        <f>(7-1)*(2-1)</f>
        <v>6</v>
      </c>
    </row>
    <row r="26" spans="1:14" x14ac:dyDescent="0.3">
      <c r="B26" t="s">
        <v>60</v>
      </c>
      <c r="C26">
        <v>1</v>
      </c>
      <c r="D26" t="s">
        <v>132</v>
      </c>
      <c r="E26" t="s">
        <v>132</v>
      </c>
      <c r="K26" s="1" t="s">
        <v>127</v>
      </c>
      <c r="L26">
        <f>_xlfn.CHISQ.DIST.RT(L24,L25)</f>
        <v>2.6970000078242597E-29</v>
      </c>
    </row>
    <row r="27" spans="1:14" x14ac:dyDescent="0.3">
      <c r="B27" t="s">
        <v>61</v>
      </c>
      <c r="C27">
        <v>3.16</v>
      </c>
      <c r="D27" s="2">
        <f>EXP(LN(C27)-1.96*SQRT(1/C15+1/D15+1/C16+1/D16))</f>
        <v>2.6703602200267635</v>
      </c>
      <c r="E27" s="2">
        <f>EXP(LN(C27)+1.96*SQRT(1/C15+1/D15+1/C16+1/D16))</f>
        <v>3.739420593937667</v>
      </c>
    </row>
    <row r="28" spans="1:14" x14ac:dyDescent="0.3">
      <c r="B28" t="s">
        <v>62</v>
      </c>
      <c r="C28">
        <v>1.52</v>
      </c>
      <c r="D28" s="2">
        <f>EXP(LN(C28)-1.96*SQRT(1/C16+1/D16+1/C17+1/D17))</f>
        <v>1.3058948934122658</v>
      </c>
      <c r="E28" s="2">
        <f t="shared" ref="E28:E32" si="4">EXP(LN(C28)+1.96*SQRT(1/C16+1/D16+1/C17+1/D17))</f>
        <v>1.7692082354062899</v>
      </c>
    </row>
    <row r="29" spans="1:14" x14ac:dyDescent="0.3">
      <c r="B29" t="s">
        <v>63</v>
      </c>
      <c r="C29">
        <v>0.87</v>
      </c>
      <c r="D29" s="2">
        <f>EXP(LN(C29)-1.96*SQRT(1/C17+1/D17+1/C18+1/D18))</f>
        <v>0.75077715543168555</v>
      </c>
      <c r="E29" s="2">
        <f t="shared" si="4"/>
        <v>1.008155342133171</v>
      </c>
    </row>
    <row r="30" spans="1:14" x14ac:dyDescent="0.3">
      <c r="B30" t="s">
        <v>64</v>
      </c>
      <c r="C30">
        <v>0.56000000000000005</v>
      </c>
      <c r="D30" s="2">
        <f>EXP(LN(C30)-1.96*SQRT(1/C18+1/D18+1/C19+1/D19))</f>
        <v>0.44000348015225144</v>
      </c>
      <c r="E30" s="2">
        <f t="shared" si="4"/>
        <v>0.71272163550044465</v>
      </c>
    </row>
    <row r="31" spans="1:14" x14ac:dyDescent="0.3">
      <c r="B31" t="s">
        <v>65</v>
      </c>
      <c r="C31">
        <v>0.61</v>
      </c>
      <c r="D31" s="2">
        <f>EXP(LN(C31)-1.96*SQRT(1/C19+1/D19+1/C20+1/D20))</f>
        <v>0.42884514799998014</v>
      </c>
      <c r="E31" s="2">
        <f t="shared" si="4"/>
        <v>0.86767916516107402</v>
      </c>
    </row>
    <row r="32" spans="1:14" x14ac:dyDescent="0.3">
      <c r="B32" t="s">
        <v>66</v>
      </c>
      <c r="C32">
        <v>0.56999999999999995</v>
      </c>
      <c r="D32" s="2">
        <f>EXP(LN(C32)-1.96*SQRT(1/C20+1/D20+1/C21+1/D21))</f>
        <v>0.36673029818533132</v>
      </c>
      <c r="E32" s="2">
        <f t="shared" si="4"/>
        <v>0.88593716310782722</v>
      </c>
    </row>
    <row r="39" spans="1:15" x14ac:dyDescent="0.3">
      <c r="A39" s="1" t="s">
        <v>120</v>
      </c>
    </row>
    <row r="40" spans="1:15" ht="15.6" x14ac:dyDescent="0.3">
      <c r="A40" t="s">
        <v>148</v>
      </c>
      <c r="B40" s="1" t="s">
        <v>118</v>
      </c>
      <c r="C40" s="1" t="s">
        <v>137</v>
      </c>
      <c r="D40" t="s">
        <v>129</v>
      </c>
      <c r="H40" s="1" t="s">
        <v>121</v>
      </c>
      <c r="I40" s="1" t="s">
        <v>4</v>
      </c>
      <c r="J40" s="1" t="s">
        <v>5</v>
      </c>
      <c r="M40" s="3" t="s">
        <v>124</v>
      </c>
      <c r="N40" s="1" t="s">
        <v>4</v>
      </c>
      <c r="O40" s="1" t="s">
        <v>5</v>
      </c>
    </row>
    <row r="41" spans="1:15" x14ac:dyDescent="0.3">
      <c r="A41" t="s">
        <v>144</v>
      </c>
      <c r="B41">
        <v>3081</v>
      </c>
      <c r="C41">
        <v>8636</v>
      </c>
      <c r="D41">
        <v>11717</v>
      </c>
      <c r="H41" t="s">
        <v>144</v>
      </c>
      <c r="I41">
        <f>(D41*B45)/D45</f>
        <v>3154.4670664521477</v>
      </c>
      <c r="J41">
        <f>(D41*C45)/D45</f>
        <v>8562.5329335478527</v>
      </c>
      <c r="M41" t="s">
        <v>144</v>
      </c>
      <c r="N41">
        <f>(B41-I41)^2/I41</f>
        <v>1.7110369959115772</v>
      </c>
      <c r="O41">
        <f>(C41-J41)^2/J41</f>
        <v>0.63035201090290305</v>
      </c>
    </row>
    <row r="42" spans="1:15" x14ac:dyDescent="0.3">
      <c r="A42" t="s">
        <v>145</v>
      </c>
      <c r="B42">
        <v>500</v>
      </c>
      <c r="C42">
        <v>952</v>
      </c>
      <c r="D42">
        <v>1452</v>
      </c>
      <c r="H42" t="s">
        <v>145</v>
      </c>
      <c r="I42">
        <f>(D42*B45)/D45</f>
        <v>390.9094632148603</v>
      </c>
      <c r="J42">
        <f>(D42*C45)/D45</f>
        <v>1061.0905367851396</v>
      </c>
      <c r="M42" t="s">
        <v>145</v>
      </c>
      <c r="N42">
        <f t="shared" ref="N42:N44" si="5">(B42-I42)^2/I42</f>
        <v>30.443737836883138</v>
      </c>
      <c r="O42">
        <f t="shared" ref="O42:O44" si="6">(C42-J42)^2/J42</f>
        <v>11.215579447279238</v>
      </c>
    </row>
    <row r="43" spans="1:15" x14ac:dyDescent="0.3">
      <c r="A43" t="s">
        <v>146</v>
      </c>
      <c r="B43">
        <v>668</v>
      </c>
      <c r="C43">
        <v>1279</v>
      </c>
      <c r="D43">
        <v>1947</v>
      </c>
      <c r="H43" t="s">
        <v>146</v>
      </c>
      <c r="I43">
        <f>(D43*B45)/D45</f>
        <v>524.17405294719902</v>
      </c>
      <c r="J43">
        <f>(D43*C45)/D45</f>
        <v>1422.825947052801</v>
      </c>
      <c r="M43" t="s">
        <v>146</v>
      </c>
      <c r="N43">
        <f t="shared" si="5"/>
        <v>39.463805828097414</v>
      </c>
      <c r="O43">
        <f t="shared" si="6"/>
        <v>14.538604028471138</v>
      </c>
    </row>
    <row r="44" spans="1:15" x14ac:dyDescent="0.3">
      <c r="A44" t="s">
        <v>147</v>
      </c>
      <c r="B44">
        <v>1273</v>
      </c>
      <c r="C44">
        <v>4122</v>
      </c>
      <c r="D44">
        <v>5395</v>
      </c>
      <c r="H44" t="s">
        <v>147</v>
      </c>
      <c r="I44">
        <f>(D44*B45)/D45</f>
        <v>1452.4494173857929</v>
      </c>
      <c r="J44">
        <f>(D44*C45)/D45</f>
        <v>3942.5505826142071</v>
      </c>
      <c r="M44" t="s">
        <v>147</v>
      </c>
      <c r="N44">
        <f t="shared" si="5"/>
        <v>22.170888028623956</v>
      </c>
      <c r="O44">
        <f t="shared" si="6"/>
        <v>8.1678326568858139</v>
      </c>
    </row>
    <row r="45" spans="1:15" ht="15.6" x14ac:dyDescent="0.3">
      <c r="A45" t="s">
        <v>149</v>
      </c>
      <c r="B45" s="1">
        <f>SUM(B41:B44)</f>
        <v>5522</v>
      </c>
      <c r="C45" s="1">
        <f>SUM(C41:C44)</f>
        <v>14989</v>
      </c>
      <c r="D45" s="3">
        <f>SUM(D41:D44)</f>
        <v>20511</v>
      </c>
    </row>
    <row r="47" spans="1:15" x14ac:dyDescent="0.3">
      <c r="M47" s="1" t="s">
        <v>128</v>
      </c>
      <c r="N47">
        <f>SUM(N41:O44)</f>
        <v>128.3418368330552</v>
      </c>
    </row>
    <row r="48" spans="1:15" x14ac:dyDescent="0.3">
      <c r="M48" s="1" t="s">
        <v>141</v>
      </c>
      <c r="N48">
        <f>(4-1)*(2-1)</f>
        <v>3</v>
      </c>
    </row>
    <row r="49" spans="1:15" x14ac:dyDescent="0.3">
      <c r="M49" s="1" t="s">
        <v>127</v>
      </c>
      <c r="N49">
        <f>_xlfn.CHISQ.DIST.RT(N47,N48)</f>
        <v>1.231384320330448E-27</v>
      </c>
    </row>
    <row r="55" spans="1:15" x14ac:dyDescent="0.3">
      <c r="H55" t="s">
        <v>92</v>
      </c>
      <c r="I55">
        <v>1071</v>
      </c>
      <c r="J55">
        <v>2070</v>
      </c>
      <c r="K55">
        <v>3141</v>
      </c>
      <c r="M55" t="s">
        <v>131</v>
      </c>
      <c r="N55" t="s">
        <v>150</v>
      </c>
      <c r="O55" t="s">
        <v>160</v>
      </c>
    </row>
    <row r="56" spans="1:15" x14ac:dyDescent="0.3">
      <c r="E56" s="1" t="s">
        <v>158</v>
      </c>
      <c r="H56" t="s">
        <v>93</v>
      </c>
      <c r="I56">
        <v>336</v>
      </c>
      <c r="J56">
        <v>1028</v>
      </c>
      <c r="K56">
        <v>1364</v>
      </c>
      <c r="M56" t="s">
        <v>151</v>
      </c>
      <c r="N56" t="s">
        <v>135</v>
      </c>
      <c r="O56" t="s">
        <v>135</v>
      </c>
    </row>
    <row r="57" spans="1:15" x14ac:dyDescent="0.3">
      <c r="A57" t="s">
        <v>148</v>
      </c>
      <c r="B57" t="s">
        <v>131</v>
      </c>
      <c r="C57" t="s">
        <v>150</v>
      </c>
      <c r="E57" s="5" t="s">
        <v>155</v>
      </c>
      <c r="H57" t="s">
        <v>94</v>
      </c>
      <c r="I57">
        <v>248</v>
      </c>
      <c r="J57">
        <v>976</v>
      </c>
      <c r="K57">
        <v>1224</v>
      </c>
      <c r="M57">
        <v>0.45200000000000001</v>
      </c>
      <c r="N57" t="s">
        <v>161</v>
      </c>
      <c r="O57" t="s">
        <v>136</v>
      </c>
    </row>
    <row r="58" spans="1:15" x14ac:dyDescent="0.3">
      <c r="A58" t="s">
        <v>144</v>
      </c>
      <c r="B58" s="4" t="s">
        <v>151</v>
      </c>
      <c r="C58" t="s">
        <v>135</v>
      </c>
      <c r="E58" s="5" t="s">
        <v>156</v>
      </c>
      <c r="H58" t="s">
        <v>95</v>
      </c>
      <c r="I58">
        <v>221</v>
      </c>
      <c r="J58">
        <v>625</v>
      </c>
      <c r="K58">
        <v>846</v>
      </c>
      <c r="M58">
        <v>0.318</v>
      </c>
      <c r="N58" t="s">
        <v>162</v>
      </c>
      <c r="O58" t="s">
        <v>136</v>
      </c>
    </row>
    <row r="59" spans="1:15" ht="16.8" x14ac:dyDescent="0.3">
      <c r="A59" t="s">
        <v>145</v>
      </c>
      <c r="B59">
        <v>1.506</v>
      </c>
      <c r="C59" t="s">
        <v>152</v>
      </c>
      <c r="E59" s="5" t="s">
        <v>159</v>
      </c>
      <c r="H59" t="s">
        <v>96</v>
      </c>
      <c r="I59">
        <v>98</v>
      </c>
      <c r="J59">
        <v>310</v>
      </c>
      <c r="K59">
        <v>408</v>
      </c>
      <c r="M59">
        <v>0.51</v>
      </c>
      <c r="N59" t="s">
        <v>163</v>
      </c>
      <c r="O59" t="s">
        <v>136</v>
      </c>
    </row>
    <row r="60" spans="1:15" x14ac:dyDescent="0.3">
      <c r="A60" t="s">
        <v>146</v>
      </c>
      <c r="B60">
        <v>1.512</v>
      </c>
      <c r="C60" t="s">
        <v>153</v>
      </c>
      <c r="E60" s="5" t="s">
        <v>157</v>
      </c>
      <c r="H60" t="s">
        <v>97</v>
      </c>
      <c r="I60">
        <v>50</v>
      </c>
      <c r="J60">
        <v>196</v>
      </c>
      <c r="K60">
        <v>246</v>
      </c>
      <c r="M60">
        <v>0.43099999999999999</v>
      </c>
      <c r="N60" t="s">
        <v>164</v>
      </c>
      <c r="O60" t="s">
        <v>136</v>
      </c>
    </row>
    <row r="61" spans="1:15" x14ac:dyDescent="0.3">
      <c r="A61" t="s">
        <v>147</v>
      </c>
      <c r="B61">
        <v>0.84699999999999998</v>
      </c>
      <c r="C61" t="s">
        <v>154</v>
      </c>
      <c r="M61">
        <v>0.31900000000000001</v>
      </c>
      <c r="N61" t="s">
        <v>165</v>
      </c>
      <c r="O61" t="s">
        <v>136</v>
      </c>
    </row>
    <row r="62" spans="1:15" x14ac:dyDescent="0.3">
      <c r="D62" t="s">
        <v>139</v>
      </c>
      <c r="E62" s="5" t="s">
        <v>140</v>
      </c>
      <c r="F62" t="s">
        <v>123</v>
      </c>
    </row>
    <row r="63" spans="1:15" x14ac:dyDescent="0.3">
      <c r="C63" t="s">
        <v>174</v>
      </c>
      <c r="D63">
        <v>402</v>
      </c>
      <c r="E63">
        <v>188</v>
      </c>
      <c r="F63">
        <v>6713</v>
      </c>
    </row>
    <row r="64" spans="1:15" x14ac:dyDescent="0.3">
      <c r="C64" t="s">
        <v>173</v>
      </c>
      <c r="D64">
        <v>1637</v>
      </c>
      <c r="E64">
        <v>5076</v>
      </c>
      <c r="F64">
        <v>590</v>
      </c>
    </row>
    <row r="67" spans="3:9" x14ac:dyDescent="0.3">
      <c r="C67" t="s">
        <v>169</v>
      </c>
      <c r="D67" t="s">
        <v>166</v>
      </c>
      <c r="E67" t="s">
        <v>167</v>
      </c>
      <c r="F67" t="s">
        <v>131</v>
      </c>
      <c r="G67" t="s">
        <v>150</v>
      </c>
      <c r="H67" t="s">
        <v>160</v>
      </c>
      <c r="I67" t="s">
        <v>168</v>
      </c>
    </row>
    <row r="68" spans="3:9" x14ac:dyDescent="0.3">
      <c r="C68" t="s">
        <v>170</v>
      </c>
      <c r="D68">
        <v>1637</v>
      </c>
      <c r="E68">
        <v>5076</v>
      </c>
      <c r="F68" t="s">
        <v>151</v>
      </c>
      <c r="G68" t="s">
        <v>135</v>
      </c>
      <c r="H68" t="s">
        <v>135</v>
      </c>
      <c r="I68" t="s">
        <v>135</v>
      </c>
    </row>
    <row r="69" spans="3:9" x14ac:dyDescent="0.3">
      <c r="C69" t="s">
        <v>171</v>
      </c>
      <c r="D69">
        <v>402</v>
      </c>
      <c r="E69">
        <v>188</v>
      </c>
      <c r="F69">
        <v>6.633</v>
      </c>
      <c r="G69" t="s">
        <v>172</v>
      </c>
      <c r="H69" t="s">
        <v>136</v>
      </c>
      <c r="I69">
        <v>0.217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Note</dc:creator>
  <cp:lastModifiedBy>Black Note</cp:lastModifiedBy>
  <dcterms:created xsi:type="dcterms:W3CDTF">2026-10-05T19:24:51Z</dcterms:created>
  <dcterms:modified xsi:type="dcterms:W3CDTF">2026-10-06T11:34:57Z</dcterms:modified>
</cp:coreProperties>
</file>